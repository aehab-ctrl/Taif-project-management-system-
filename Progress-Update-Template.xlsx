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leteme\New folder (11)\"/>
    </mc:Choice>
  </mc:AlternateContent>
  <xr:revisionPtr revIDLastSave="0" documentId="13_ncr:1_{CE9136E4-88B1-4C00-A18A-92281B28F924}" xr6:coauthVersionLast="47" xr6:coauthVersionMax="47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Macros" sheetId="12" state="veryHidden" r:id="rId1"/>
    <sheet name="Dashboard" sheetId="15" state="hidden" r:id="rId2"/>
    <sheet name="Fill out report  تعبئة التقرير" sheetId="16" r:id="rId3"/>
    <sheet name="Extract " sheetId="20" state="hidden" r:id="rId4"/>
    <sheet name="PMO Comments" sheetId="22" state="hidden" r:id="rId5"/>
    <sheet name="list" sheetId="19" state="hidden" r:id="rId6"/>
    <sheet name=" مساعدة Help " sheetId="17" r:id="rId7"/>
  </sheets>
  <externalReferences>
    <externalReference r:id="rId8"/>
    <externalReference r:id="rId9"/>
  </externalReferences>
  <definedNames>
    <definedName name="_xlnm._FilterDatabase" localSheetId="2" hidden="1">'Fill out report  تعبئة التقرير'!$E$119:$R$129</definedName>
    <definedName name="DeptList" localSheetId="0">[1]List!$I$4:$I$24</definedName>
    <definedName name="Impact_list">list!$B$4:$B$8</definedName>
    <definedName name="Issue">list!$B$19:$B$21</definedName>
    <definedName name="PhaseList" localSheetId="0">[1]List!$C$3:$C$7</definedName>
    <definedName name="Priority_list" localSheetId="0">[1]List!$C$59:$C$63</definedName>
    <definedName name="Prob_list">list!$A$11:$A$15</definedName>
    <definedName name="Report_Period_Week">list!$H$3:$H$54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0" l="1"/>
  <c r="B2" i="20"/>
  <c r="D2" i="20" l="1"/>
  <c r="F17" i="16"/>
  <c r="F16" i="16"/>
  <c r="F21" i="16"/>
  <c r="T2" i="20" l="1"/>
  <c r="V2" i="20"/>
  <c r="AO37" i="20"/>
  <c r="AO38" i="20"/>
  <c r="AO39" i="20"/>
  <c r="AO40" i="20"/>
  <c r="AO41" i="20"/>
  <c r="AO42" i="20"/>
  <c r="AO43" i="20"/>
  <c r="AO44" i="20"/>
  <c r="AO45" i="20"/>
  <c r="AO46" i="20"/>
  <c r="AO47" i="20"/>
  <c r="AO48" i="20"/>
  <c r="AO49" i="20"/>
  <c r="AG2" i="20" l="1"/>
  <c r="AH50" i="20" l="1"/>
  <c r="AI50" i="20"/>
  <c r="AJ50" i="20"/>
  <c r="AK50" i="20"/>
  <c r="AL50" i="20"/>
  <c r="AM50" i="20"/>
  <c r="AN50" i="20"/>
  <c r="AO50" i="20"/>
  <c r="AO20" i="20" l="1"/>
  <c r="AO21" i="20"/>
  <c r="AO22" i="20"/>
  <c r="AO23" i="20"/>
  <c r="AO24" i="20"/>
  <c r="AO25" i="20"/>
  <c r="AO26" i="20"/>
  <c r="AO27" i="20"/>
  <c r="AO28" i="20"/>
  <c r="AO29" i="20"/>
  <c r="AO30" i="20"/>
  <c r="AO31" i="20"/>
  <c r="AO32" i="20"/>
  <c r="AO33" i="20"/>
  <c r="AO34" i="20"/>
  <c r="AO35" i="20"/>
  <c r="AO36" i="20"/>
  <c r="AN19" i="20"/>
  <c r="AN20" i="20"/>
  <c r="AN21" i="20"/>
  <c r="AN22" i="20"/>
  <c r="AN23" i="20"/>
  <c r="AN24" i="20"/>
  <c r="AN25" i="20"/>
  <c r="AN26" i="20"/>
  <c r="AN27" i="20"/>
  <c r="AN28" i="20"/>
  <c r="AN29" i="20"/>
  <c r="AN30" i="20"/>
  <c r="AN31" i="20"/>
  <c r="AN32" i="20"/>
  <c r="AN33" i="20"/>
  <c r="AN34" i="20"/>
  <c r="AN35" i="20"/>
  <c r="AN36" i="20"/>
  <c r="AN37" i="20"/>
  <c r="AN38" i="20"/>
  <c r="AN39" i="20"/>
  <c r="AN40" i="20"/>
  <c r="AN41" i="20"/>
  <c r="AN42" i="20"/>
  <c r="AN43" i="20"/>
  <c r="AN44" i="20"/>
  <c r="AN45" i="20"/>
  <c r="AN46" i="20"/>
  <c r="AN47" i="20"/>
  <c r="AN48" i="20"/>
  <c r="AN49" i="20"/>
  <c r="AM19" i="20"/>
  <c r="AM20" i="20"/>
  <c r="AM21" i="20"/>
  <c r="AM22" i="20"/>
  <c r="AM23" i="20"/>
  <c r="AM24" i="20"/>
  <c r="AM25" i="20"/>
  <c r="AM26" i="20"/>
  <c r="AM27" i="20"/>
  <c r="AM28" i="20"/>
  <c r="AM29" i="20"/>
  <c r="AM30" i="20"/>
  <c r="AM31" i="20"/>
  <c r="AM32" i="20"/>
  <c r="AM33" i="20"/>
  <c r="AM34" i="20"/>
  <c r="AM35" i="20"/>
  <c r="AM36" i="20"/>
  <c r="AM37" i="20"/>
  <c r="AM38" i="20"/>
  <c r="AM39" i="20"/>
  <c r="AM40" i="20"/>
  <c r="AM41" i="20"/>
  <c r="AM42" i="20"/>
  <c r="AM43" i="20"/>
  <c r="AM44" i="20"/>
  <c r="AM45" i="20"/>
  <c r="AM46" i="20"/>
  <c r="AM47" i="20"/>
  <c r="AM48" i="20"/>
  <c r="AM49" i="20"/>
  <c r="AL19" i="20"/>
  <c r="AL20" i="20"/>
  <c r="AL21" i="20"/>
  <c r="AL22" i="20"/>
  <c r="AL23" i="20"/>
  <c r="AL24" i="20"/>
  <c r="AL25" i="20"/>
  <c r="AL26" i="20"/>
  <c r="AL27" i="20"/>
  <c r="AL28" i="20"/>
  <c r="AL29" i="20"/>
  <c r="AL30" i="20"/>
  <c r="AL31" i="20"/>
  <c r="AL32" i="20"/>
  <c r="AL33" i="20"/>
  <c r="AL34" i="20"/>
  <c r="AL35" i="20"/>
  <c r="AL36" i="20"/>
  <c r="AL37" i="20"/>
  <c r="AL38" i="20"/>
  <c r="AL39" i="20"/>
  <c r="AL40" i="20"/>
  <c r="AL41" i="20"/>
  <c r="AL42" i="20"/>
  <c r="AL43" i="20"/>
  <c r="AL44" i="20"/>
  <c r="AL45" i="20"/>
  <c r="AL46" i="20"/>
  <c r="AL47" i="20"/>
  <c r="AL48" i="20"/>
  <c r="AL49" i="20"/>
  <c r="AK19" i="20"/>
  <c r="AK20" i="20"/>
  <c r="AK21" i="20"/>
  <c r="AK22" i="20"/>
  <c r="AK23" i="20"/>
  <c r="AK24" i="20"/>
  <c r="AK25" i="20"/>
  <c r="AK26" i="20"/>
  <c r="AK27" i="20"/>
  <c r="AK28" i="20"/>
  <c r="AK29" i="20"/>
  <c r="AK30" i="20"/>
  <c r="AK31" i="20"/>
  <c r="AK32" i="20"/>
  <c r="AK33" i="20"/>
  <c r="AK34" i="20"/>
  <c r="AK35" i="20"/>
  <c r="AK36" i="20"/>
  <c r="AK37" i="20"/>
  <c r="AK38" i="20"/>
  <c r="AK39" i="20"/>
  <c r="AK40" i="20"/>
  <c r="AK41" i="20"/>
  <c r="AK42" i="20"/>
  <c r="AK43" i="20"/>
  <c r="AK44" i="20"/>
  <c r="AK45" i="20"/>
  <c r="AK46" i="20"/>
  <c r="AK47" i="20"/>
  <c r="AK48" i="20"/>
  <c r="AK49" i="20"/>
  <c r="AJ19" i="20"/>
  <c r="AJ20" i="20"/>
  <c r="AJ21" i="20"/>
  <c r="AJ22" i="20"/>
  <c r="AJ23" i="20"/>
  <c r="AJ24" i="20"/>
  <c r="AJ25" i="20"/>
  <c r="AJ26" i="20"/>
  <c r="AJ27" i="20"/>
  <c r="AJ28" i="20"/>
  <c r="AJ29" i="20"/>
  <c r="AJ30" i="20"/>
  <c r="AJ31" i="20"/>
  <c r="AJ32" i="20"/>
  <c r="AJ33" i="20"/>
  <c r="AJ34" i="20"/>
  <c r="AJ35" i="20"/>
  <c r="AJ36" i="20"/>
  <c r="AJ37" i="20"/>
  <c r="AJ38" i="20"/>
  <c r="AJ39" i="20"/>
  <c r="AJ40" i="20"/>
  <c r="AJ41" i="20"/>
  <c r="AJ42" i="20"/>
  <c r="AJ43" i="20"/>
  <c r="AJ44" i="20"/>
  <c r="AJ45" i="20"/>
  <c r="AJ46" i="20"/>
  <c r="AJ47" i="20"/>
  <c r="AJ48" i="20"/>
  <c r="AJ49" i="20"/>
  <c r="AI19" i="20"/>
  <c r="AI20" i="20"/>
  <c r="AI21" i="20"/>
  <c r="AI22" i="20"/>
  <c r="AI23" i="20"/>
  <c r="AI24" i="20"/>
  <c r="AI25" i="20"/>
  <c r="AI26" i="20"/>
  <c r="AI27" i="20"/>
  <c r="AI28" i="20"/>
  <c r="AI29" i="20"/>
  <c r="AI30" i="20"/>
  <c r="AI31" i="20"/>
  <c r="AI32" i="20"/>
  <c r="AI33" i="20"/>
  <c r="AI34" i="20"/>
  <c r="AI35" i="20"/>
  <c r="AI36" i="20"/>
  <c r="AI37" i="20"/>
  <c r="AI38" i="20"/>
  <c r="AI39" i="20"/>
  <c r="AI40" i="20"/>
  <c r="AI41" i="20"/>
  <c r="AI42" i="20"/>
  <c r="AI43" i="20"/>
  <c r="AI44" i="20"/>
  <c r="AI45" i="20"/>
  <c r="AI46" i="20"/>
  <c r="AI47" i="20"/>
  <c r="AI48" i="20"/>
  <c r="AI49" i="20"/>
  <c r="AH48" i="20"/>
  <c r="AH49" i="20"/>
  <c r="AH40" i="20"/>
  <c r="AH41" i="20"/>
  <c r="AH42" i="20"/>
  <c r="AH43" i="20"/>
  <c r="AH44" i="20"/>
  <c r="AH45" i="20"/>
  <c r="AH46" i="20"/>
  <c r="AH47" i="20"/>
  <c r="AH32" i="20"/>
  <c r="AH33" i="20"/>
  <c r="AH34" i="20"/>
  <c r="AH35" i="20"/>
  <c r="AH36" i="20"/>
  <c r="AH37" i="20"/>
  <c r="AH38" i="20"/>
  <c r="AH39" i="20"/>
  <c r="AH26" i="20"/>
  <c r="AH27" i="20"/>
  <c r="AH28" i="20"/>
  <c r="AH29" i="20"/>
  <c r="AH30" i="20"/>
  <c r="AH31" i="20"/>
  <c r="AH19" i="20"/>
  <c r="AH20" i="20"/>
  <c r="AH21" i="20"/>
  <c r="AH22" i="20"/>
  <c r="AH23" i="20"/>
  <c r="AH24" i="20"/>
  <c r="AH25" i="20"/>
  <c r="R76" i="16"/>
  <c r="R75" i="16"/>
  <c r="R74" i="16"/>
  <c r="R73" i="16"/>
  <c r="R72" i="16"/>
  <c r="R71" i="16"/>
  <c r="R70" i="16"/>
  <c r="R69" i="16"/>
  <c r="R68" i="16"/>
  <c r="R67" i="16"/>
  <c r="R66" i="16"/>
  <c r="R65" i="16"/>
  <c r="R64" i="16"/>
  <c r="R63" i="16"/>
  <c r="R62" i="16"/>
  <c r="R61" i="16" l="1"/>
  <c r="R60" i="16"/>
  <c r="R59" i="16"/>
  <c r="R54" i="16"/>
  <c r="R55" i="16"/>
  <c r="R56" i="16"/>
  <c r="R57" i="16"/>
  <c r="R58" i="16"/>
  <c r="R50" i="16"/>
  <c r="R51" i="16"/>
  <c r="R52" i="16"/>
  <c r="R53" i="16"/>
  <c r="R46" i="16"/>
  <c r="R47" i="16"/>
  <c r="R48" i="16"/>
  <c r="R49" i="16"/>
  <c r="R38" i="16"/>
  <c r="R39" i="16"/>
  <c r="R40" i="16"/>
  <c r="R41" i="16"/>
  <c r="R42" i="16"/>
  <c r="R43" i="16"/>
  <c r="R44" i="16"/>
  <c r="R45" i="16"/>
  <c r="AM5" i="20" l="1"/>
  <c r="AM6" i="20"/>
  <c r="AM7" i="20"/>
  <c r="AM8" i="20"/>
  <c r="AM9" i="20"/>
  <c r="AM10" i="20"/>
  <c r="AM11" i="20"/>
  <c r="AM12" i="20"/>
  <c r="AM13" i="20"/>
  <c r="AM14" i="20"/>
  <c r="AM15" i="20"/>
  <c r="AM16" i="20"/>
  <c r="AM17" i="20"/>
  <c r="AM18" i="20"/>
  <c r="AM4" i="20"/>
  <c r="AM3" i="20"/>
  <c r="AM2" i="20"/>
  <c r="AI2" i="20"/>
  <c r="AL4" i="20"/>
  <c r="AL5" i="20"/>
  <c r="AL6" i="20"/>
  <c r="AL7" i="20"/>
  <c r="AL8" i="20"/>
  <c r="AL9" i="20"/>
  <c r="AL10" i="20"/>
  <c r="AL11" i="20"/>
  <c r="AL12" i="20"/>
  <c r="AL13" i="20"/>
  <c r="AL14" i="20"/>
  <c r="AL15" i="20"/>
  <c r="AL16" i="20"/>
  <c r="AL17" i="20"/>
  <c r="AL18" i="20"/>
  <c r="AL3" i="20"/>
  <c r="AL2" i="20"/>
  <c r="AK4" i="20"/>
  <c r="AK5" i="20"/>
  <c r="AK6" i="20"/>
  <c r="AK7" i="20"/>
  <c r="AK8" i="20"/>
  <c r="AK9" i="20"/>
  <c r="AK10" i="20"/>
  <c r="AK11" i="20"/>
  <c r="AK12" i="20"/>
  <c r="AK13" i="20"/>
  <c r="AK14" i="20"/>
  <c r="AK15" i="20"/>
  <c r="AK16" i="20"/>
  <c r="AK17" i="20"/>
  <c r="AK18" i="20"/>
  <c r="AK3" i="20"/>
  <c r="AK2" i="20"/>
  <c r="AJ4" i="20"/>
  <c r="AJ5" i="20"/>
  <c r="AJ6" i="20"/>
  <c r="AJ7" i="20"/>
  <c r="AJ8" i="20"/>
  <c r="AJ9" i="20"/>
  <c r="AJ10" i="20"/>
  <c r="AJ11" i="20"/>
  <c r="AJ12" i="20"/>
  <c r="AJ13" i="20"/>
  <c r="AJ14" i="20"/>
  <c r="AJ15" i="20"/>
  <c r="AJ16" i="20"/>
  <c r="AJ17" i="20"/>
  <c r="AJ18" i="20"/>
  <c r="AJ3" i="20"/>
  <c r="AJ2" i="20"/>
  <c r="AI5" i="20"/>
  <c r="AI6" i="20"/>
  <c r="AI7" i="20"/>
  <c r="AI8" i="20"/>
  <c r="AI9" i="20"/>
  <c r="AI10" i="20"/>
  <c r="AI11" i="20"/>
  <c r="AI12" i="20"/>
  <c r="AI13" i="20"/>
  <c r="AI14" i="20"/>
  <c r="AI15" i="20"/>
  <c r="AI16" i="20"/>
  <c r="AI17" i="20"/>
  <c r="AI18" i="20"/>
  <c r="AI4" i="20"/>
  <c r="AI3" i="20"/>
  <c r="R29" i="16"/>
  <c r="R30" i="16"/>
  <c r="R31" i="16"/>
  <c r="R32" i="16"/>
  <c r="R33" i="16"/>
  <c r="R34" i="16"/>
  <c r="R35" i="16"/>
  <c r="R36" i="16"/>
  <c r="R37" i="16"/>
  <c r="R28" i="16"/>
  <c r="AA2" i="20" l="1"/>
  <c r="N2" i="20"/>
  <c r="AQ2" i="20"/>
  <c r="AP2" i="20"/>
  <c r="E2" i="20" l="1"/>
  <c r="L2" i="20"/>
  <c r="H2" i="20"/>
  <c r="AO5" i="20" l="1"/>
  <c r="AO6" i="20"/>
  <c r="AO7" i="20"/>
  <c r="AO8" i="20"/>
  <c r="AO9" i="20"/>
  <c r="AO10" i="20"/>
  <c r="AO11" i="20"/>
  <c r="AO12" i="20"/>
  <c r="AO13" i="20"/>
  <c r="AO14" i="20"/>
  <c r="AO15" i="20"/>
  <c r="AO16" i="20"/>
  <c r="AO17" i="20"/>
  <c r="AO18" i="20"/>
  <c r="AO19" i="20"/>
  <c r="AO3" i="20"/>
  <c r="AO4" i="20"/>
  <c r="AN2" i="20"/>
  <c r="AN18" i="20"/>
  <c r="AN17" i="20"/>
  <c r="AN16" i="20"/>
  <c r="AN15" i="20"/>
  <c r="AN14" i="20"/>
  <c r="AN13" i="20"/>
  <c r="AN12" i="20"/>
  <c r="AN11" i="20"/>
  <c r="AN10" i="20"/>
  <c r="AN9" i="20"/>
  <c r="AN8" i="20"/>
  <c r="AN7" i="20"/>
  <c r="AN6" i="20"/>
  <c r="AN5" i="20"/>
  <c r="AN4" i="20"/>
  <c r="AN3" i="20"/>
  <c r="AH2" i="20"/>
  <c r="AH18" i="20"/>
  <c r="AH17" i="20"/>
  <c r="AH16" i="20"/>
  <c r="AH15" i="20"/>
  <c r="AH14" i="20"/>
  <c r="AH13" i="20"/>
  <c r="AH12" i="20"/>
  <c r="AH11" i="20"/>
  <c r="AH10" i="20"/>
  <c r="AH9" i="20"/>
  <c r="AH8" i="20"/>
  <c r="AH7" i="20"/>
  <c r="AH6" i="20"/>
  <c r="AH5" i="20"/>
  <c r="AH4" i="20"/>
  <c r="AH3" i="20"/>
  <c r="AF2" i="20"/>
  <c r="F120" i="16" l="1"/>
  <c r="AB2" i="20"/>
  <c r="AC2" i="20"/>
  <c r="F121" i="16"/>
  <c r="F122" i="16"/>
  <c r="F123" i="16"/>
  <c r="F124" i="16"/>
  <c r="F125" i="16"/>
  <c r="F126" i="16"/>
  <c r="F127" i="16"/>
  <c r="F128" i="16"/>
  <c r="F129" i="16"/>
  <c r="G21" i="16" l="1"/>
  <c r="AD2" i="20"/>
  <c r="AO2" i="20"/>
  <c r="U2" i="20"/>
  <c r="Z2" i="20" s="1"/>
  <c r="O2" i="20"/>
  <c r="M2" i="20"/>
  <c r="S2" i="20"/>
  <c r="R2" i="20"/>
  <c r="Q2" i="20"/>
  <c r="K2" i="20"/>
  <c r="J2" i="20" l="1"/>
  <c r="I2" i="20"/>
  <c r="G2" i="20"/>
  <c r="F2" i="20"/>
  <c r="A2" i="20"/>
  <c r="E98" i="16"/>
  <c r="X2" i="20" l="1"/>
  <c r="W2" i="20"/>
  <c r="Y2" i="20" l="1"/>
  <c r="F19" i="16"/>
  <c r="G19" i="16" l="1"/>
  <c r="P2" i="20" s="1"/>
  <c r="B26" i="19"/>
  <c r="B33" i="19"/>
  <c r="B35" i="19"/>
  <c r="B34" i="19"/>
  <c r="B32" i="19"/>
  <c r="B31" i="19"/>
  <c r="B30" i="19"/>
  <c r="B29" i="19"/>
  <c r="B28" i="19"/>
  <c r="B27" i="19"/>
  <c r="A35" i="19"/>
  <c r="A32" i="19"/>
  <c r="A33" i="19"/>
  <c r="A34" i="19"/>
  <c r="A27" i="19"/>
  <c r="A28" i="19"/>
  <c r="A29" i="19"/>
  <c r="A30" i="19"/>
  <c r="A31" i="19"/>
  <c r="C30" i="19" l="1"/>
  <c r="F108" i="16" s="1"/>
  <c r="C35" i="19"/>
  <c r="F113" i="16" s="1"/>
  <c r="C33" i="19"/>
  <c r="F111" i="16" s="1"/>
  <c r="C31" i="19"/>
  <c r="F109" i="16" s="1"/>
  <c r="C34" i="19"/>
  <c r="F112" i="16" s="1"/>
  <c r="C32" i="19"/>
  <c r="F110" i="16" s="1"/>
  <c r="C29" i="19"/>
  <c r="F107" i="16" s="1"/>
  <c r="C28" i="19"/>
  <c r="F106" i="16" s="1"/>
  <c r="C27" i="19"/>
  <c r="F105" i="16" s="1"/>
  <c r="A26" i="19"/>
  <c r="C26" i="19" s="1"/>
  <c r="F104" i="16" s="1"/>
  <c r="AE2" i="20" l="1"/>
  <c r="G22" i="16"/>
  <c r="G23" i="16"/>
  <c r="CI89" i="16" l="1"/>
  <c r="CD89" i="16"/>
  <c r="CC89" i="16"/>
  <c r="CB89" i="16"/>
  <c r="CA89" i="16"/>
  <c r="BZ89" i="16"/>
  <c r="BY89" i="16"/>
  <c r="BX89" i="16"/>
  <c r="BW89" i="16"/>
  <c r="BV89" i="16"/>
  <c r="BU89" i="16"/>
  <c r="BT89" i="16"/>
  <c r="BS89" i="16"/>
  <c r="BR89" i="16"/>
  <c r="AL104" i="16"/>
  <c r="AL105" i="16"/>
  <c r="AL106" i="16"/>
  <c r="AN106" i="16" s="1"/>
  <c r="AL107" i="16"/>
  <c r="AL108" i="16"/>
  <c r="AL109" i="16"/>
  <c r="AL110" i="16"/>
  <c r="AL111" i="16"/>
  <c r="AL112" i="16"/>
  <c r="AL113" i="16"/>
  <c r="M11" i="15"/>
  <c r="I11" i="15"/>
  <c r="AM109" i="16"/>
  <c r="AM110" i="16"/>
  <c r="AM111" i="16"/>
  <c r="AM112" i="16"/>
  <c r="AM113" i="16"/>
  <c r="Q15" i="15"/>
  <c r="Q13" i="15"/>
  <c r="G9" i="15"/>
  <c r="AN126" i="16"/>
  <c r="AN128" i="16"/>
  <c r="AL121" i="16"/>
  <c r="AL122" i="16"/>
  <c r="AL123" i="16"/>
  <c r="AN123" i="16"/>
  <c r="AL124" i="16"/>
  <c r="AL125" i="16"/>
  <c r="AL126" i="16"/>
  <c r="AL127" i="16"/>
  <c r="AN127" i="16"/>
  <c r="AL128" i="16"/>
  <c r="AL129" i="16"/>
  <c r="AN129" i="16"/>
  <c r="AL120" i="16"/>
  <c r="AN120" i="16" s="1"/>
  <c r="AN124" i="16"/>
  <c r="AN125" i="16"/>
  <c r="AN112" i="16"/>
  <c r="Q11" i="15"/>
  <c r="Q9" i="15"/>
  <c r="Q17" i="15"/>
  <c r="R17" i="15"/>
  <c r="AN122" i="16"/>
  <c r="AN121" i="16"/>
  <c r="AN111" i="16"/>
  <c r="AN110" i="16"/>
  <c r="AN109" i="16"/>
  <c r="AN107" i="16"/>
  <c r="AN105" i="16"/>
  <c r="AN108" i="16"/>
  <c r="AN113" i="16"/>
  <c r="AN104" i="16" l="1"/>
  <c r="F117" i="16"/>
  <c r="G117" i="16" s="1"/>
  <c r="CE89" i="16"/>
  <c r="CG89" i="16"/>
  <c r="CF89" i="16"/>
  <c r="CH89" i="16"/>
  <c r="F101" i="16" l="1"/>
  <c r="G101" i="16" s="1"/>
</calcChain>
</file>

<file path=xl/sharedStrings.xml><?xml version="1.0" encoding="utf-8"?>
<sst xmlns="http://schemas.openxmlformats.org/spreadsheetml/2006/main" count="312" uniqueCount="285">
  <si>
    <t>Schedule</t>
  </si>
  <si>
    <t>On Track</t>
  </si>
  <si>
    <t>Managed Delay</t>
  </si>
  <si>
    <t>Off Track</t>
  </si>
  <si>
    <t>Scope</t>
  </si>
  <si>
    <t>Controlled</t>
  </si>
  <si>
    <t>Accepted Variance</t>
  </si>
  <si>
    <t>Uncontrolled</t>
  </si>
  <si>
    <t>Quality</t>
  </si>
  <si>
    <t>High</t>
  </si>
  <si>
    <t>Meduim</t>
  </si>
  <si>
    <t>Low</t>
  </si>
  <si>
    <t>Risks</t>
  </si>
  <si>
    <t>Low Risk</t>
  </si>
  <si>
    <t>Moderate Risk</t>
  </si>
  <si>
    <t>High Risk</t>
  </si>
  <si>
    <t>PMO - Project Progress Report (PPR)</t>
  </si>
  <si>
    <t>Project Name &gt;</t>
  </si>
  <si>
    <r>
      <rPr>
        <b/>
        <i/>
        <sz val="11"/>
        <color theme="3" tint="-0.249977111117893"/>
        <rFont val="Calibri"/>
        <family val="2"/>
      </rPr>
      <t xml:space="preserve">                                    Planned </t>
    </r>
    <r>
      <rPr>
        <b/>
        <i/>
        <sz val="11"/>
        <color theme="0"/>
        <rFont val="Calibri"/>
        <family val="2"/>
      </rPr>
      <t xml:space="preserve">Project Length &gt; </t>
    </r>
  </si>
  <si>
    <r>
      <t xml:space="preserve">Report Period </t>
    </r>
    <r>
      <rPr>
        <b/>
        <i/>
        <u/>
        <sz val="11"/>
        <color theme="0"/>
        <rFont val="Calibri"/>
        <family val="2"/>
      </rPr>
      <t>From</t>
    </r>
    <r>
      <rPr>
        <b/>
        <i/>
        <sz val="11"/>
        <color theme="0"/>
        <rFont val="Calibri"/>
        <family val="2"/>
      </rPr>
      <t xml:space="preserve">&gt; </t>
    </r>
  </si>
  <si>
    <r>
      <t xml:space="preserve">Report Period </t>
    </r>
    <r>
      <rPr>
        <b/>
        <i/>
        <u/>
        <sz val="11"/>
        <color theme="0"/>
        <rFont val="Calibri"/>
        <family val="2"/>
      </rPr>
      <t>To</t>
    </r>
    <r>
      <rPr>
        <b/>
        <i/>
        <sz val="11"/>
        <color theme="0"/>
        <rFont val="Calibri"/>
        <family val="2"/>
      </rPr>
      <t xml:space="preserve"> &gt;</t>
    </r>
  </si>
  <si>
    <r>
      <rPr>
        <b/>
        <i/>
        <sz val="11"/>
        <color rgb="FF00B050"/>
        <rFont val="Calibri"/>
        <family val="2"/>
      </rPr>
      <t xml:space="preserve">                                   Actual </t>
    </r>
    <r>
      <rPr>
        <b/>
        <i/>
        <sz val="11"/>
        <color theme="0"/>
        <rFont val="Calibri"/>
        <family val="2"/>
      </rPr>
      <t>Project Length &gt;</t>
    </r>
  </si>
  <si>
    <t xml:space="preserve">Project Phase
</t>
  </si>
  <si>
    <r>
      <t xml:space="preserve">                                  Project </t>
    </r>
    <r>
      <rPr>
        <b/>
        <i/>
        <sz val="11"/>
        <color theme="9" tint="-0.249977111117893"/>
        <rFont val="Calibri"/>
        <family val="2"/>
      </rPr>
      <t>Planned</t>
    </r>
    <r>
      <rPr>
        <b/>
        <i/>
        <sz val="11"/>
        <rFont val="Calibri"/>
        <family val="2"/>
      </rPr>
      <t xml:space="preserve"> </t>
    </r>
    <r>
      <rPr>
        <b/>
        <i/>
        <sz val="11"/>
        <color theme="0"/>
        <rFont val="Calibri"/>
        <family val="2"/>
      </rPr>
      <t xml:space="preserve">End Date &gt; </t>
    </r>
  </si>
  <si>
    <t>Executing &amp; Controlling</t>
  </si>
  <si>
    <t>Initiation</t>
  </si>
  <si>
    <t>Planning</t>
  </si>
  <si>
    <t>Closing</t>
  </si>
  <si>
    <r>
      <t xml:space="preserve">                                         % of </t>
    </r>
    <r>
      <rPr>
        <b/>
        <i/>
        <sz val="11"/>
        <color rgb="FFC00000"/>
        <rFont val="Calibri"/>
        <family val="2"/>
      </rPr>
      <t>Delay</t>
    </r>
    <r>
      <rPr>
        <b/>
        <i/>
        <sz val="11"/>
        <rFont val="Calibri"/>
        <family val="2"/>
      </rPr>
      <t xml:space="preserve"> </t>
    </r>
    <r>
      <rPr>
        <b/>
        <i/>
        <sz val="11"/>
        <color theme="0"/>
        <rFont val="Calibri"/>
        <family val="2"/>
      </rPr>
      <t>in project &gt;</t>
    </r>
  </si>
  <si>
    <t>Project Start</t>
  </si>
  <si>
    <t>Project End</t>
  </si>
  <si>
    <r>
      <t>Overall Status -RAG</t>
    </r>
    <r>
      <rPr>
        <i/>
        <sz val="8"/>
        <rFont val="Calibri"/>
        <family val="2"/>
      </rPr>
      <t xml:space="preserve">(Previous / New) </t>
    </r>
    <r>
      <rPr>
        <b/>
        <i/>
        <sz val="11"/>
        <rFont val="Calibri"/>
        <family val="2"/>
      </rPr>
      <t xml:space="preserve">&gt; </t>
    </r>
  </si>
  <si>
    <t>Project Dashboard</t>
  </si>
  <si>
    <t>% of Completion &gt;</t>
  </si>
  <si>
    <t>Project Risks &gt;</t>
  </si>
  <si>
    <t>Project Milestones &gt;</t>
  </si>
  <si>
    <t>Project Issues &gt;</t>
  </si>
  <si>
    <t>Project Progress Report Template v 1.1</t>
  </si>
  <si>
    <t>تقرير أداء المشروع
Project Progress Report (PPR)</t>
  </si>
  <si>
    <r>
      <rPr>
        <b/>
        <sz val="16"/>
        <color theme="0"/>
        <rFont val="Calibri"/>
        <family val="2"/>
      </rPr>
      <t>معلومات المشروع</t>
    </r>
    <r>
      <rPr>
        <b/>
        <sz val="13"/>
        <color theme="0"/>
        <rFont val="Calibri"/>
        <family val="2"/>
      </rPr>
      <t xml:space="preserve">
Project  Information</t>
    </r>
  </si>
  <si>
    <t>اسم المشروع
Project Name</t>
  </si>
  <si>
    <t>تاريخ بداية المشروع
Project Start Date</t>
  </si>
  <si>
    <t>رمز المشروع
Project Code</t>
  </si>
  <si>
    <t>تاريخ نهاية المشروع
Project End Date</t>
  </si>
  <si>
    <t>القطاع
Sector</t>
  </si>
  <si>
    <t>راعي المشروع
Project  Sponsor</t>
  </si>
  <si>
    <r>
      <t xml:space="preserve">اسم المورد </t>
    </r>
    <r>
      <rPr>
        <i/>
        <sz val="11.5"/>
        <color rgb="FF28466A"/>
        <rFont val="Calibri"/>
        <family val="2"/>
      </rPr>
      <t xml:space="preserve">( إن وجد)
</t>
    </r>
    <r>
      <rPr>
        <b/>
        <i/>
        <sz val="11.5"/>
        <color rgb="FF28466A"/>
        <rFont val="Calibri"/>
        <family val="2"/>
      </rPr>
      <t xml:space="preserve"> Vendor Name </t>
    </r>
    <r>
      <rPr>
        <i/>
        <sz val="11.5"/>
        <color rgb="FF28466A"/>
        <rFont val="Calibri"/>
        <family val="2"/>
      </rPr>
      <t xml:space="preserve"> (if any)</t>
    </r>
  </si>
  <si>
    <t>مالك المشروع
Project Owner</t>
  </si>
  <si>
    <t>مدير المشروع
Project Manager</t>
  </si>
  <si>
    <t>الميزانية المحجوزة
Allocated Budget</t>
  </si>
  <si>
    <t xml:space="preserve">فترة التقرير من تاريخ
Report Period From </t>
  </si>
  <si>
    <t>المبلغ الفعلي المصروف
Actual Spent Amount</t>
  </si>
  <si>
    <t xml:space="preserve">إلى تاريخ
To Date </t>
  </si>
  <si>
    <t>حالة المشروع
Project Health</t>
  </si>
  <si>
    <t xml:space="preserve">  &lt;-----الفترة السابقة (يدوي) 
 Previous Period ( Manual )</t>
  </si>
  <si>
    <t>وصف حالة المشروع ( الجدول الزمني ، الميزانية ، نطاق العمل ، المورد / الموارد )</t>
  </si>
  <si>
    <t>حالة الجدول الزمني
Schedule Status</t>
  </si>
  <si>
    <t>حالة نطاق العمل
Scope Status</t>
  </si>
  <si>
    <t>حالة الموارد / الشركة المنفذة
Resource/Vendor Status</t>
  </si>
  <si>
    <t>المشروع  (المعالم / الأنشطة / المستلمات)
Project (Milestones / Task / Deliverables)</t>
  </si>
  <si>
    <t>المعالم/التسليمات
Milstones/Major Tasks</t>
  </si>
  <si>
    <t>تاريخ البدء
Start Date</t>
  </si>
  <si>
    <t>تاريخ النهاية
End date</t>
  </si>
  <si>
    <t>الإنجاز %
% Complete</t>
  </si>
  <si>
    <t>التسليمات المرتبط بدفعات
Paid Deliverables</t>
  </si>
  <si>
    <t>قيمة الدفعة
Payment Amount</t>
  </si>
  <si>
    <t>تم الدفع (نعم/لا)
Paid (Yes/No)</t>
  </si>
  <si>
    <t>الحالة
Status</t>
  </si>
  <si>
    <t>إنجازات المشروع
Project Achievements</t>
  </si>
  <si>
    <r>
      <rPr>
        <b/>
        <sz val="12"/>
        <rFont val="Calibri"/>
        <family val="2"/>
      </rPr>
      <t xml:space="preserve">
</t>
    </r>
    <r>
      <rPr>
        <b/>
        <sz val="13"/>
        <rFont val="Calibri"/>
        <family val="2"/>
      </rPr>
      <t>المنجز في هذه الفترة</t>
    </r>
    <r>
      <rPr>
        <b/>
        <sz val="12"/>
        <rFont val="Calibri"/>
        <family val="2"/>
      </rPr>
      <t xml:space="preserve">
</t>
    </r>
    <r>
      <rPr>
        <b/>
        <sz val="11"/>
        <rFont val="Calibri"/>
        <family val="2"/>
      </rPr>
      <t xml:space="preserve">Achieved in this Period
</t>
    </r>
    <r>
      <rPr>
        <sz val="10"/>
        <color theme="1" tint="0.34998626667073579"/>
        <rFont val="Calibri"/>
        <family val="2"/>
      </rPr>
      <t>For new line press : "Alt + Enter</t>
    </r>
    <r>
      <rPr>
        <b/>
        <sz val="11"/>
        <rFont val="Calibri"/>
        <family val="2"/>
      </rPr>
      <t xml:space="preserve">
</t>
    </r>
  </si>
  <si>
    <r>
      <rPr>
        <b/>
        <sz val="13"/>
        <rFont val="Calibri"/>
        <family val="2"/>
      </rPr>
      <t>المخطط إنجازه في الفترة القادمة</t>
    </r>
    <r>
      <rPr>
        <b/>
        <sz val="12"/>
        <rFont val="Calibri"/>
        <family val="2"/>
      </rPr>
      <t xml:space="preserve">
</t>
    </r>
    <r>
      <rPr>
        <b/>
        <sz val="11"/>
        <rFont val="Calibri"/>
        <family val="2"/>
      </rPr>
      <t xml:space="preserve">Planned for the Next Period
</t>
    </r>
    <r>
      <rPr>
        <sz val="10"/>
        <color theme="1" tint="0.34998626667073579"/>
        <rFont val="Calibri"/>
        <family val="2"/>
      </rPr>
      <t>For new line press : "Alt + Enter</t>
    </r>
  </si>
  <si>
    <t>FOR CHARTS AND CALCULATIONS</t>
  </si>
  <si>
    <t xml:space="preserve">DON'T CHANGE ANY VALUE </t>
  </si>
  <si>
    <t>Milestones</t>
  </si>
  <si>
    <t>Planned Project Period  (1st Baseline)</t>
  </si>
  <si>
    <t>Actual Project Period</t>
  </si>
  <si>
    <t>Variance based on baseline</t>
  </si>
  <si>
    <t>% of Delay (1st Baseline)</t>
  </si>
  <si>
    <t>No. of Milestones</t>
  </si>
  <si>
    <t xml:space="preserve"> Achieved</t>
  </si>
  <si>
    <t xml:space="preserve"> In Progress</t>
  </si>
  <si>
    <t>Overdue</t>
  </si>
  <si>
    <t xml:space="preserve"> Not Started Yet</t>
  </si>
  <si>
    <t>No. of Risks</t>
  </si>
  <si>
    <t>High Risks</t>
  </si>
  <si>
    <t>Moderate Risks</t>
  </si>
  <si>
    <t>Low Risks</t>
  </si>
  <si>
    <t>No. of Issues</t>
  </si>
  <si>
    <t>High Issues</t>
  </si>
  <si>
    <t>Medium Issues</t>
  </si>
  <si>
    <t>Low Issues</t>
  </si>
  <si>
    <t>Variance % of Completion</t>
  </si>
  <si>
    <t>ملاحظات مدير المشروع
Project Manager Comment</t>
  </si>
  <si>
    <r>
      <t xml:space="preserve">
ملاحظات مدير المشروع
</t>
    </r>
    <r>
      <rPr>
        <sz val="12"/>
        <rFont val="Calibri"/>
        <family val="2"/>
      </rPr>
      <t xml:space="preserve">PM Comment
</t>
    </r>
    <r>
      <rPr>
        <b/>
        <sz val="12"/>
        <rFont val="Calibri"/>
        <family val="2"/>
      </rPr>
      <t xml:space="preserve">
</t>
    </r>
    <r>
      <rPr>
        <sz val="10"/>
        <color theme="1" tint="0.34998626667073579"/>
        <rFont val="Calibri"/>
        <family val="2"/>
      </rPr>
      <t>For new line press : "Alt + Enter</t>
    </r>
  </si>
  <si>
    <r>
      <t xml:space="preserve"> </t>
    </r>
    <r>
      <rPr>
        <b/>
        <sz val="12"/>
        <rFont val="Calibri"/>
        <family val="2"/>
      </rPr>
      <t>الإنجاز الحالي %</t>
    </r>
    <r>
      <rPr>
        <b/>
        <sz val="11"/>
        <rFont val="Calibri"/>
        <family val="2"/>
      </rPr>
      <t xml:space="preserve">
</t>
    </r>
    <r>
      <rPr>
        <b/>
        <sz val="9.5"/>
        <rFont val="Calibri"/>
        <family val="2"/>
      </rPr>
      <t>% of Completion  (Current)</t>
    </r>
  </si>
  <si>
    <r>
      <rPr>
        <b/>
        <sz val="12"/>
        <rFont val="Calibri"/>
        <family val="2"/>
      </rPr>
      <t xml:space="preserve">المخطط </t>
    </r>
    <r>
      <rPr>
        <b/>
        <sz val="11"/>
        <rFont val="Calibri"/>
        <family val="2"/>
      </rPr>
      <t xml:space="preserve">إنجازه %
</t>
    </r>
    <r>
      <rPr>
        <b/>
        <sz val="9.5"/>
        <rFont val="Calibri"/>
        <family val="2"/>
      </rPr>
      <t xml:space="preserve">% Planned </t>
    </r>
  </si>
  <si>
    <r>
      <t>الإنجاز السابق %</t>
    </r>
    <r>
      <rPr>
        <b/>
        <sz val="9.5"/>
        <rFont val="Calibri"/>
        <family val="2"/>
      </rPr>
      <t xml:space="preserve">
% Completion  (Previous)</t>
    </r>
  </si>
  <si>
    <t>مخاطر المشروع
Project Risks</t>
  </si>
  <si>
    <t>DON'T CHANGE ANY VALUE</t>
  </si>
  <si>
    <r>
      <rPr>
        <b/>
        <i/>
        <sz val="12"/>
        <color theme="4" tint="-0.249977111117893"/>
        <rFont val="Calibri"/>
        <family val="2"/>
      </rPr>
      <t>وصف الخطر</t>
    </r>
    <r>
      <rPr>
        <b/>
        <i/>
        <sz val="11"/>
        <color theme="4" tint="-0.249977111117893"/>
        <rFont val="Calibri"/>
        <family val="2"/>
      </rPr>
      <t xml:space="preserve">
Risk Description</t>
    </r>
  </si>
  <si>
    <t>الإحتمالية
Probability</t>
  </si>
  <si>
    <t>التأثير
Impact</t>
  </si>
  <si>
    <t>الخطة الإستجابية
Contingency Plan</t>
  </si>
  <si>
    <t>Probability value</t>
  </si>
  <si>
    <t>Impact value</t>
  </si>
  <si>
    <r>
      <rPr>
        <b/>
        <i/>
        <sz val="13"/>
        <color rgb="FFFF0000"/>
        <rFont val="Calibri"/>
        <family val="2"/>
      </rPr>
      <t xml:space="preserve">المخاطر </t>
    </r>
    <r>
      <rPr>
        <b/>
        <i/>
        <sz val="11"/>
        <color rgb="FFFF0000"/>
        <rFont val="Calibri"/>
        <family val="2"/>
      </rPr>
      <t xml:space="preserve">
Risks </t>
    </r>
  </si>
  <si>
    <t>مشاكل المشروع
Project Issues</t>
  </si>
  <si>
    <t>وصف المشكلة
Issue Description</t>
  </si>
  <si>
    <t>تاريخ حل المشكلة 
Resolution Date</t>
  </si>
  <si>
    <t>إجراءات الحل
Resolution Action(s)</t>
  </si>
  <si>
    <t>Column1</t>
  </si>
  <si>
    <t>Issues</t>
  </si>
  <si>
    <r>
      <rPr>
        <b/>
        <i/>
        <sz val="13"/>
        <color rgb="FFFF0000"/>
        <rFont val="Calibri"/>
        <family val="2"/>
      </rPr>
      <t>المشاكل</t>
    </r>
    <r>
      <rPr>
        <b/>
        <i/>
        <sz val="11"/>
        <color rgb="FFFF0000"/>
        <rFont val="Calibri"/>
        <family val="2"/>
      </rPr>
      <t xml:space="preserve">
Issues</t>
    </r>
  </si>
  <si>
    <t>وصف القرارات أو المساعدة المطلوبة
Decision or Help Required Description</t>
  </si>
  <si>
    <r>
      <rPr>
        <b/>
        <i/>
        <sz val="13"/>
        <color theme="1"/>
        <rFont val="Calibri"/>
        <family val="2"/>
      </rPr>
      <t>القرار أو المساعدة المطلوبة</t>
    </r>
    <r>
      <rPr>
        <b/>
        <i/>
        <sz val="11"/>
        <color theme="1"/>
        <rFont val="Calibri"/>
        <family val="2"/>
      </rPr>
      <t xml:space="preserve">
Decision or Help Required</t>
    </r>
  </si>
  <si>
    <t>1)</t>
  </si>
  <si>
    <t>2)</t>
  </si>
  <si>
    <t>3)</t>
  </si>
  <si>
    <t>Project Name</t>
  </si>
  <si>
    <t>Sector</t>
  </si>
  <si>
    <t>Vendor Name</t>
  </si>
  <si>
    <t>Project Code</t>
  </si>
  <si>
    <t>Project Sponsor</t>
  </si>
  <si>
    <t xml:space="preserve">Project Owner  </t>
  </si>
  <si>
    <t>Project Manager</t>
  </si>
  <si>
    <t>Phase</t>
  </si>
  <si>
    <t>Project Start Date</t>
  </si>
  <si>
    <t>Project End Date</t>
  </si>
  <si>
    <t>Estimated End Date</t>
  </si>
  <si>
    <t xml:space="preserve">Allocated Budget </t>
  </si>
  <si>
    <t>Actual Spend</t>
  </si>
  <si>
    <t>Planned to Spend</t>
  </si>
  <si>
    <t>RAG - Previous</t>
  </si>
  <si>
    <t>RAG - Current</t>
  </si>
  <si>
    <t>RAG - Schedule</t>
  </si>
  <si>
    <t>RAG - Scope</t>
  </si>
  <si>
    <t>RAG - Resources</t>
  </si>
  <si>
    <t>Previous - %Completion</t>
  </si>
  <si>
    <t>Current -  %Completion</t>
  </si>
  <si>
    <t>Planned - 
%Completion</t>
  </si>
  <si>
    <t xml:space="preserve">Planned Project Period </t>
  </si>
  <si>
    <t xml:space="preserve">Actual Project Period </t>
  </si>
  <si>
    <t>Schedule Variance</t>
  </si>
  <si>
    <t>%Delayed</t>
  </si>
  <si>
    <t>Max Milestone Date</t>
  </si>
  <si>
    <t>Achivements</t>
  </si>
  <si>
    <t>Next Tasks</t>
  </si>
  <si>
    <t>PM Comments</t>
  </si>
  <si>
    <t>Help Required</t>
  </si>
  <si>
    <t>Milestone Start Date</t>
  </si>
  <si>
    <t>Milestone End Date</t>
  </si>
  <si>
    <t>Milestone % Completion</t>
  </si>
  <si>
    <t>Deliverables</t>
  </si>
  <si>
    <t>Payment Amount</t>
  </si>
  <si>
    <t>Paid</t>
  </si>
  <si>
    <t>Flag</t>
  </si>
  <si>
    <t>Reporting Period  From</t>
  </si>
  <si>
    <t>Reporting Period  To</t>
  </si>
  <si>
    <t>Date</t>
  </si>
  <si>
    <t>Time</t>
  </si>
  <si>
    <t>Name</t>
  </si>
  <si>
    <t>Comment</t>
  </si>
  <si>
    <t>Week</t>
  </si>
  <si>
    <t>Impact</t>
  </si>
  <si>
    <t>Score</t>
  </si>
  <si>
    <t>Week  1</t>
  </si>
  <si>
    <t>(Very High)  عالي جداً</t>
  </si>
  <si>
    <t>Week  2</t>
  </si>
  <si>
    <t>(High)  عالي</t>
  </si>
  <si>
    <t>Week  3</t>
  </si>
  <si>
    <t>(Medium)  متوسط</t>
  </si>
  <si>
    <t>Week  4</t>
  </si>
  <si>
    <t>(Low)  منخفض</t>
  </si>
  <si>
    <t>Week  5</t>
  </si>
  <si>
    <t>(Very Low)  منخفض جداً</t>
  </si>
  <si>
    <t>Week  6</t>
  </si>
  <si>
    <t>Week  7</t>
  </si>
  <si>
    <t>Rage In %</t>
  </si>
  <si>
    <t>Prob. Description</t>
  </si>
  <si>
    <t>Week  8</t>
  </si>
  <si>
    <t>&gt; 75%</t>
  </si>
  <si>
    <t>Very Likely</t>
  </si>
  <si>
    <t>Week  9</t>
  </si>
  <si>
    <t>50% - 75%</t>
  </si>
  <si>
    <t>Likely</t>
  </si>
  <si>
    <t>Week  10</t>
  </si>
  <si>
    <t>20% - 50%</t>
  </si>
  <si>
    <t>Possible</t>
  </si>
  <si>
    <t>Week  11</t>
  </si>
  <si>
    <t>5% - 20%</t>
  </si>
  <si>
    <t>Unlikely</t>
  </si>
  <si>
    <t>Week  12</t>
  </si>
  <si>
    <t>&lt; 5%</t>
  </si>
  <si>
    <t>Very Unlikely</t>
  </si>
  <si>
    <t>Week  13</t>
  </si>
  <si>
    <t>Week  14</t>
  </si>
  <si>
    <t>Week  15</t>
  </si>
  <si>
    <t>Issue</t>
  </si>
  <si>
    <t>Week  16</t>
  </si>
  <si>
    <t>(High) عالي</t>
  </si>
  <si>
    <t>Week  17</t>
  </si>
  <si>
    <t>Week  18</t>
  </si>
  <si>
    <t>Week  19</t>
  </si>
  <si>
    <t>Week  20</t>
  </si>
  <si>
    <t>Week  21</t>
  </si>
  <si>
    <t>Week  22</t>
  </si>
  <si>
    <t>Risks Severity</t>
  </si>
  <si>
    <t>Week  23</t>
  </si>
  <si>
    <t>Week  24</t>
  </si>
  <si>
    <t>Week  25</t>
  </si>
  <si>
    <t>Week  26</t>
  </si>
  <si>
    <t>Week  27</t>
  </si>
  <si>
    <t>Week  28</t>
  </si>
  <si>
    <t>Week  29</t>
  </si>
  <si>
    <t>Week  30</t>
  </si>
  <si>
    <t>Week  31</t>
  </si>
  <si>
    <t>Week  32</t>
  </si>
  <si>
    <t>Week  33</t>
  </si>
  <si>
    <t>Week  34</t>
  </si>
  <si>
    <t>Week  35</t>
  </si>
  <si>
    <t>Week  36</t>
  </si>
  <si>
    <t>Week  37</t>
  </si>
  <si>
    <t>Week  38</t>
  </si>
  <si>
    <t>Week  39</t>
  </si>
  <si>
    <t>Week  40</t>
  </si>
  <si>
    <t>Week  41</t>
  </si>
  <si>
    <t>Week  42</t>
  </si>
  <si>
    <t>Week  43</t>
  </si>
  <si>
    <t>Week  44</t>
  </si>
  <si>
    <t>Week  45</t>
  </si>
  <si>
    <t>Week  46</t>
  </si>
  <si>
    <t>Week  47</t>
  </si>
  <si>
    <t>Week  48</t>
  </si>
  <si>
    <t>Week  49</t>
  </si>
  <si>
    <t>Week  50</t>
  </si>
  <si>
    <t>Week  51</t>
  </si>
  <si>
    <t>Week  52</t>
  </si>
  <si>
    <t>`</t>
  </si>
  <si>
    <t>How to use this  PMO - Progress Report ?</t>
  </si>
  <si>
    <t>About this Template &gt;</t>
  </si>
  <si>
    <t xml:space="preserve">  Status reporting involves collecting and disseminating performance information to provide  </t>
  </si>
  <si>
    <t>PMO</t>
  </si>
  <si>
    <t xml:space="preserve">  stakeholders with information needed about the project.  The report should include the following:</t>
  </si>
  <si>
    <t>* Accomplishments this reporting period.</t>
  </si>
  <si>
    <t>* Proposed activities for the next reporting period</t>
  </si>
  <si>
    <t>* Reference high severity risk identified in the Project Risks Log</t>
  </si>
  <si>
    <t>* Identify any predicted slippage to the Schedule , Quality and Scope along with cause and corrective actions</t>
  </si>
  <si>
    <t>Tips &gt;</t>
  </si>
  <si>
    <t xml:space="preserve">                            * If you want to add more Risks , Issues and Milestone . Just click on "Headings" to show sheet headings and </t>
  </si>
  <si>
    <t xml:space="preserve">                               select the rows you want to unhide , Then right click and choose Unhide.</t>
  </si>
  <si>
    <r>
      <t xml:space="preserve">                            * To print the Entire worksheet , use the keyboard and press </t>
    </r>
    <r>
      <rPr>
        <b/>
        <u/>
        <sz val="14"/>
        <rFont val="Sakkal Majalla"/>
      </rPr>
      <t xml:space="preserve">" Ctrl + P " </t>
    </r>
    <r>
      <rPr>
        <sz val="14"/>
        <rFont val="Sakkal Majalla"/>
      </rPr>
      <t xml:space="preserve">to open </t>
    </r>
    <r>
      <rPr>
        <b/>
        <u/>
        <sz val="14"/>
        <rFont val="Sakkal Majalla"/>
      </rPr>
      <t>MS Excel 2010</t>
    </r>
    <r>
      <rPr>
        <sz val="14"/>
        <rFont val="Sakkal Majalla"/>
      </rPr>
      <t xml:space="preserve"> print preview page.</t>
    </r>
  </si>
  <si>
    <t>Legend &gt;</t>
  </si>
  <si>
    <t>Please use this table to know what color to select in the traffic lights cells in (Overall Status Project) &amp; (Risks):</t>
  </si>
  <si>
    <t xml:space="preserve">Schedule   الجدول الزمني </t>
  </si>
  <si>
    <t>متأخر   [Unmanaged Delayed]</t>
  </si>
  <si>
    <t xml:space="preserve">  if  Schedule Delay &gt; 10% of  baseline schedule</t>
  </si>
  <si>
    <t>احتمال وجود تأخير  [ Managed Delayed]</t>
  </si>
  <si>
    <t xml:space="preserve">  if  Schedule Dela y&lt; 10% of  baseline schedule</t>
  </si>
  <si>
    <t xml:space="preserve"> وفق الخطة  [On-Time]</t>
  </si>
  <si>
    <t>Risk Grade   درجة الخطورة</t>
  </si>
  <si>
    <t xml:space="preserve"> Risk Probability   الإحتمالية الخطر </t>
  </si>
  <si>
    <t>Description</t>
  </si>
  <si>
    <t>Range in %</t>
  </si>
  <si>
    <t>من المرجح جداً</t>
  </si>
  <si>
    <t>من المرجح</t>
  </si>
  <si>
    <t>من محتمل</t>
  </si>
  <si>
    <t>من غير المرجح</t>
  </si>
  <si>
    <t>من غير المرجح جداً</t>
  </si>
  <si>
    <t>Risk Scoring Matrix مصفوفة  ترقيم الخطر</t>
  </si>
  <si>
    <t xml:space="preserve"> (Probability  x Impact )                 Impact  التأثير &gt; </t>
  </si>
  <si>
    <t xml:space="preserve">(1) منخفض جداً Very Low  </t>
  </si>
  <si>
    <t xml:space="preserve">(2) منخفض Low  </t>
  </si>
  <si>
    <t xml:space="preserve">(3) متوسط  Medium </t>
  </si>
  <si>
    <t xml:space="preserve">(4) عالي   High </t>
  </si>
  <si>
    <t xml:space="preserve">(5) عالي جداً Very High </t>
  </si>
  <si>
    <t>Probability الإحتمالية&gt;</t>
  </si>
  <si>
    <t>من غير المرجح جداً (1)</t>
  </si>
  <si>
    <t>من غير المرجح (2)</t>
  </si>
  <si>
    <t>من محتمل (3)</t>
  </si>
  <si>
    <t>من المرجح (4)</t>
  </si>
  <si>
    <t>من المرجح جداً (5)</t>
  </si>
  <si>
    <t xml:space="preserve">Milestones   المعالم </t>
  </si>
  <si>
    <t>Overdue  تجاوز الحد</t>
  </si>
  <si>
    <t>Not Due Yet / Completed On Time  لم يبدأ /مكتمل حسب الوقت</t>
  </si>
  <si>
    <t xml:space="preserve">  Please don't hesitate to contact ICT PMO if you need to increase the number of rows or to customize the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</si>
</sst>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d/mm/yy;@"/>
    <numFmt numFmtId="166" formatCode="&quot;Yes&quot;;&quot;Yes&quot;;&quot;No&quot;"/>
    <numFmt numFmtId="167" formatCode="[$-C09]dd\-mmm\-yy;@"/>
    <numFmt numFmtId="168" formatCode="[$-409]d\-mmm\-yy;@"/>
    <numFmt numFmtId="169" formatCode="[$SAR]\ #,##0.00"/>
    <numFmt numFmtId="170" formatCode="[$-409]dd\-mmm\-yy;@"/>
    <numFmt numFmtId="171" formatCode="d/mm/yyyy;@"/>
    <numFmt numFmtId="172" formatCode="#,##0;[Red]#,##0"/>
  </numFmts>
  <fonts count="1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u/>
      <sz val="10"/>
      <color indexed="12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u/>
      <sz val="9.35"/>
      <color theme="10"/>
      <name val="Calibri"/>
      <family val="2"/>
    </font>
    <font>
      <sz val="10"/>
      <name val="Helv"/>
      <charset val="204"/>
    </font>
    <font>
      <sz val="11"/>
      <name val="Calibri"/>
      <family val="2"/>
    </font>
    <font>
      <b/>
      <sz val="11"/>
      <name val="Calibri"/>
      <family val="2"/>
    </font>
    <font>
      <b/>
      <i/>
      <sz val="12"/>
      <name val="Calibri"/>
      <family val="2"/>
    </font>
    <font>
      <b/>
      <i/>
      <sz val="11"/>
      <name val="Calibri"/>
      <family val="2"/>
    </font>
    <font>
      <i/>
      <sz val="9"/>
      <color theme="0" tint="-0.34998626667073579"/>
      <name val="Calibri"/>
      <family val="2"/>
    </font>
    <font>
      <sz val="9"/>
      <name val="Calibri"/>
      <family val="2"/>
    </font>
    <font>
      <sz val="9"/>
      <color theme="0" tint="-0.34998626667073579"/>
      <name val="Calibri"/>
      <family val="2"/>
    </font>
    <font>
      <sz val="10"/>
      <color theme="0"/>
      <name val="Calibri"/>
      <family val="2"/>
    </font>
    <font>
      <sz val="11"/>
      <color theme="4"/>
      <name val="Calibri"/>
      <family val="2"/>
    </font>
    <font>
      <i/>
      <sz val="12"/>
      <name val="Calibri"/>
      <family val="2"/>
    </font>
    <font>
      <sz val="10"/>
      <color rgb="FFFF0000"/>
      <name val="Calibri"/>
      <family val="2"/>
    </font>
    <font>
      <i/>
      <sz val="11"/>
      <color theme="1"/>
      <name val="Calibri"/>
      <family val="2"/>
    </font>
    <font>
      <sz val="10"/>
      <color rgb="FF0070C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sz val="9"/>
      <color rgb="FF0070C0"/>
      <name val="Calibri"/>
      <family val="2"/>
    </font>
    <font>
      <sz val="12"/>
      <name val="Calibri"/>
      <family val="2"/>
    </font>
    <font>
      <i/>
      <sz val="8"/>
      <name val="Calibri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4"/>
      <color theme="0" tint="-0.34998626667073579"/>
      <name val="Calibri"/>
      <family val="2"/>
    </font>
    <font>
      <b/>
      <sz val="12"/>
      <name val="Calibri"/>
      <family val="2"/>
    </font>
    <font>
      <b/>
      <i/>
      <sz val="14"/>
      <name val="Calibri"/>
      <family val="2"/>
    </font>
    <font>
      <sz val="20"/>
      <color theme="1"/>
      <name val="Calibri"/>
      <family val="2"/>
      <charset val="178"/>
      <scheme val="minor"/>
    </font>
    <font>
      <sz val="20"/>
      <name val="Calibri"/>
      <family val="2"/>
      <charset val="178"/>
    </font>
    <font>
      <sz val="24"/>
      <color theme="1"/>
      <name val="Calibri"/>
      <family val="2"/>
      <charset val="178"/>
      <scheme val="minor"/>
    </font>
    <font>
      <sz val="24"/>
      <name val="Calibri"/>
      <family val="2"/>
      <charset val="178"/>
    </font>
    <font>
      <sz val="12"/>
      <color theme="0" tint="-0.499984740745262"/>
      <name val="Calibri"/>
      <family val="2"/>
    </font>
    <font>
      <b/>
      <sz val="10"/>
      <color theme="0"/>
      <name val="Arial"/>
      <family val="2"/>
    </font>
    <font>
      <b/>
      <sz val="11"/>
      <color theme="9" tint="-0.249977111117893"/>
      <name val="Calibri"/>
      <family val="2"/>
    </font>
    <font>
      <sz val="10"/>
      <name val="Sakkal Majalla"/>
    </font>
    <font>
      <b/>
      <sz val="10"/>
      <name val="Sakkal Majalla"/>
    </font>
    <font>
      <b/>
      <sz val="11"/>
      <name val="Sakkal Majalla"/>
    </font>
    <font>
      <sz val="11"/>
      <name val="Sakkal Majalla"/>
    </font>
    <font>
      <sz val="18"/>
      <color rgb="FFFF0000"/>
      <name val="Sakkal Majalla"/>
    </font>
    <font>
      <i/>
      <sz val="9"/>
      <name val="Sakkal Majalla"/>
    </font>
    <font>
      <b/>
      <i/>
      <sz val="11"/>
      <color theme="0"/>
      <name val="Sakkal Majalla"/>
    </font>
    <font>
      <i/>
      <sz val="12"/>
      <name val="Sakkal Majalla"/>
    </font>
    <font>
      <b/>
      <i/>
      <sz val="12"/>
      <name val="Sakkal Majalla"/>
    </font>
    <font>
      <b/>
      <i/>
      <sz val="12"/>
      <color theme="6"/>
      <name val="Sakkal Majalla"/>
    </font>
    <font>
      <sz val="11"/>
      <color theme="0" tint="-0.499984740745262"/>
      <name val="Sakkal Majalla"/>
    </font>
    <font>
      <b/>
      <i/>
      <sz val="11"/>
      <color rgb="FFFFFFFF"/>
      <name val="Sakkal Majalla"/>
    </font>
    <font>
      <sz val="11"/>
      <color rgb="FF000000"/>
      <name val="Sakkal Majalla"/>
    </font>
    <font>
      <i/>
      <sz val="11"/>
      <color theme="1"/>
      <name val="Sakkal Majalla"/>
    </font>
    <font>
      <i/>
      <sz val="11"/>
      <color theme="0" tint="-0.499984740745262"/>
      <name val="Sakkal Majalla"/>
    </font>
    <font>
      <i/>
      <sz val="9"/>
      <color theme="0" tint="-0.34998626667073579"/>
      <name val="Sakkal Majalla"/>
    </font>
    <font>
      <sz val="9"/>
      <name val="Sakkal Majalla"/>
    </font>
    <font>
      <sz val="9"/>
      <color theme="0" tint="-0.34998626667073579"/>
      <name val="Sakkal Majalla"/>
    </font>
    <font>
      <b/>
      <i/>
      <sz val="14"/>
      <color theme="0"/>
      <name val="Sakkal Majalla"/>
    </font>
    <font>
      <b/>
      <sz val="14"/>
      <name val="Sakkal Majalla"/>
    </font>
    <font>
      <sz val="14"/>
      <name val="Sakkal Majalla"/>
    </font>
    <font>
      <sz val="14"/>
      <color rgb="FF000000"/>
      <name val="Sakkal Majalla"/>
    </font>
    <font>
      <i/>
      <sz val="14"/>
      <color theme="0" tint="-0.34998626667073579"/>
      <name val="Sakkal Majalla"/>
    </font>
    <font>
      <b/>
      <sz val="14"/>
      <color theme="6"/>
      <name val="Sakkal Majalla"/>
    </font>
    <font>
      <b/>
      <u/>
      <sz val="14"/>
      <name val="Sakkal Majalla"/>
    </font>
    <font>
      <b/>
      <i/>
      <sz val="18"/>
      <name val="Sakkal Majalla"/>
    </font>
    <font>
      <i/>
      <sz val="24"/>
      <name val="Sakkal Majalla"/>
    </font>
    <font>
      <b/>
      <i/>
      <sz val="11"/>
      <color theme="1"/>
      <name val="Calibri"/>
      <family val="2"/>
    </font>
    <font>
      <b/>
      <i/>
      <sz val="12"/>
      <color theme="4" tint="-0.499984740745262"/>
      <name val="Calibri"/>
      <family val="2"/>
    </font>
    <font>
      <b/>
      <i/>
      <sz val="12"/>
      <color theme="6" tint="-0.499984740745262"/>
      <name val="Calibri"/>
      <family val="2"/>
    </font>
    <font>
      <b/>
      <i/>
      <sz val="11"/>
      <color theme="0"/>
      <name val="Calibri"/>
      <family val="2"/>
    </font>
    <font>
      <b/>
      <i/>
      <sz val="11"/>
      <color rgb="FF0070C0"/>
      <name val="Calibri"/>
      <family val="2"/>
    </font>
    <font>
      <b/>
      <i/>
      <sz val="11"/>
      <color theme="3" tint="-0.249977111117893"/>
      <name val="Calibri"/>
      <family val="2"/>
    </font>
    <font>
      <b/>
      <i/>
      <u/>
      <sz val="11"/>
      <color theme="0"/>
      <name val="Calibri"/>
      <family val="2"/>
    </font>
    <font>
      <b/>
      <i/>
      <sz val="12"/>
      <color rgb="FF0070C0"/>
      <name val="Calibri"/>
      <family val="2"/>
    </font>
    <font>
      <b/>
      <i/>
      <sz val="11"/>
      <color rgb="FF00B050"/>
      <name val="Calibri"/>
      <family val="2"/>
    </font>
    <font>
      <b/>
      <i/>
      <sz val="9"/>
      <color theme="6"/>
      <name val="Calibri"/>
      <family val="2"/>
    </font>
    <font>
      <i/>
      <sz val="8"/>
      <color theme="1"/>
      <name val="Calibri"/>
      <family val="2"/>
    </font>
    <font>
      <b/>
      <i/>
      <sz val="11"/>
      <color theme="9" tint="-0.249977111117893"/>
      <name val="Calibri"/>
      <family val="2"/>
    </font>
    <font>
      <b/>
      <i/>
      <sz val="9"/>
      <color theme="1"/>
      <name val="Calibri"/>
      <family val="2"/>
    </font>
    <font>
      <sz val="10"/>
      <color rgb="FFFFC000"/>
      <name val="Calibri"/>
      <family val="2"/>
    </font>
    <font>
      <sz val="10"/>
      <color rgb="FF00B050"/>
      <name val="Calibri"/>
      <family val="2"/>
    </font>
    <font>
      <b/>
      <i/>
      <sz val="11"/>
      <color rgb="FFC00000"/>
      <name val="Calibri"/>
      <family val="2"/>
    </font>
    <font>
      <i/>
      <sz val="8"/>
      <color theme="1" tint="0.499984740745262"/>
      <name val="Calibri"/>
      <family val="2"/>
    </font>
    <font>
      <b/>
      <i/>
      <sz val="12"/>
      <color theme="0"/>
      <name val="Calibri"/>
      <family val="2"/>
    </font>
    <font>
      <i/>
      <sz val="9"/>
      <name val="Calibri"/>
      <family val="2"/>
    </font>
    <font>
      <b/>
      <i/>
      <u/>
      <sz val="10"/>
      <color theme="0" tint="-0.34998626667073579"/>
      <name val="Calibri"/>
      <family val="2"/>
    </font>
    <font>
      <b/>
      <i/>
      <sz val="11"/>
      <color rgb="FF28466A"/>
      <name val="Calibri"/>
      <family val="2"/>
    </font>
    <font>
      <i/>
      <sz val="10"/>
      <color theme="0" tint="-0.499984740745262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1"/>
      <color theme="4"/>
      <name val="Calibri"/>
      <family val="2"/>
    </font>
    <font>
      <sz val="8"/>
      <color theme="0"/>
      <name val="Calibri"/>
      <family val="2"/>
    </font>
    <font>
      <b/>
      <sz val="8"/>
      <color theme="0"/>
      <name val="Calibri"/>
      <family val="2"/>
    </font>
    <font>
      <sz val="11"/>
      <color theme="3" tint="-0.249977111117893"/>
      <name val="Calibri"/>
      <family val="2"/>
    </font>
    <font>
      <sz val="10"/>
      <color theme="3" tint="-0.249977111117893"/>
      <name val="Calibri"/>
      <family val="2"/>
    </font>
    <font>
      <sz val="9"/>
      <color theme="3" tint="-0.249977111117893"/>
      <name val="Calibri"/>
      <family val="2"/>
    </font>
    <font>
      <i/>
      <sz val="11"/>
      <color theme="3" tint="-0.249977111117893"/>
      <name val="Calibri"/>
      <family val="2"/>
    </font>
    <font>
      <i/>
      <sz val="11"/>
      <color theme="0"/>
      <name val="Sakkal Majalla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i/>
      <sz val="12"/>
      <color theme="4"/>
      <name val="Sakkal Majalla"/>
    </font>
    <font>
      <b/>
      <i/>
      <sz val="11"/>
      <color theme="4" tint="-0.249977111117893"/>
      <name val="Calibri"/>
      <family val="2"/>
    </font>
    <font>
      <b/>
      <i/>
      <sz val="11"/>
      <color rgb="FFFF0000"/>
      <name val="Calibri"/>
      <family val="2"/>
    </font>
    <font>
      <sz val="14"/>
      <name val="Calibri"/>
      <family val="2"/>
    </font>
    <font>
      <b/>
      <i/>
      <sz val="16"/>
      <color theme="9" tint="-0.249977111117893"/>
      <name val="Calibri"/>
      <family val="2"/>
    </font>
    <font>
      <b/>
      <i/>
      <sz val="14"/>
      <color theme="0"/>
      <name val="Calibri"/>
      <family val="2"/>
    </font>
    <font>
      <i/>
      <sz val="11"/>
      <color theme="0" tint="-0.499984740745262"/>
      <name val="Calibri"/>
      <family val="2"/>
    </font>
    <font>
      <b/>
      <i/>
      <sz val="12"/>
      <color rgb="FF28466A"/>
      <name val="Calibri"/>
      <family val="2"/>
    </font>
    <font>
      <b/>
      <i/>
      <sz val="10"/>
      <color theme="0" tint="-0.499984740745262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16"/>
      <color theme="0"/>
      <name val="Calibri"/>
      <family val="2"/>
    </font>
    <font>
      <b/>
      <i/>
      <sz val="11.5"/>
      <color rgb="FF28466A"/>
      <name val="Calibri"/>
      <family val="2"/>
    </font>
    <font>
      <i/>
      <sz val="11.5"/>
      <color rgb="FF28466A"/>
      <name val="Calibri"/>
      <family val="2"/>
    </font>
    <font>
      <b/>
      <i/>
      <sz val="11.5"/>
      <color theme="8" tint="-0.499984740745262"/>
      <name val="Calibri"/>
      <family val="2"/>
    </font>
    <font>
      <b/>
      <sz val="13"/>
      <color theme="0"/>
      <name val="Calibri"/>
      <family val="2"/>
    </font>
    <font>
      <b/>
      <i/>
      <sz val="14"/>
      <color theme="9" tint="-0.249977111117893"/>
      <name val="Calibri"/>
      <family val="2"/>
    </font>
    <font>
      <b/>
      <sz val="11.5"/>
      <color theme="0"/>
      <name val="Calibri"/>
      <family val="2"/>
    </font>
    <font>
      <b/>
      <sz val="11"/>
      <color theme="2" tint="-0.89999084444715716"/>
      <name val="Calibri"/>
      <family val="2"/>
    </font>
    <font>
      <b/>
      <sz val="13"/>
      <name val="Calibri"/>
      <family val="2"/>
    </font>
    <font>
      <b/>
      <sz val="9.5"/>
      <name val="Calibri"/>
      <family val="2"/>
    </font>
    <font>
      <b/>
      <i/>
      <sz val="12"/>
      <color theme="4" tint="-0.249977111117893"/>
      <name val="Calibri"/>
      <family val="2"/>
    </font>
    <font>
      <b/>
      <i/>
      <sz val="13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i/>
      <sz val="10"/>
      <name val="Sakkal Majalla"/>
    </font>
    <font>
      <sz val="10"/>
      <color theme="1"/>
      <name val="Sakkal Majalla"/>
    </font>
    <font>
      <sz val="10"/>
      <color theme="1" tint="0.34998626667073579"/>
      <name val="Calibri"/>
      <family val="2"/>
    </font>
    <font>
      <b/>
      <i/>
      <sz val="13"/>
      <color theme="1"/>
      <name val="Calibri"/>
      <family val="2"/>
    </font>
    <font>
      <b/>
      <sz val="10"/>
      <color theme="1"/>
      <name val="Calibri"/>
      <family val="2"/>
      <scheme val="minor"/>
    </font>
    <font>
      <sz val="8"/>
      <name val="Arial"/>
      <family val="2"/>
    </font>
    <font>
      <sz val="10"/>
      <color rgb="FF303C18"/>
      <name val="Calibri"/>
      <family val="2"/>
    </font>
    <font>
      <sz val="10"/>
      <name val="Arial"/>
      <family val="2"/>
    </font>
    <font>
      <b/>
      <sz val="13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13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gradientFill degree="270">
        <stop position="0">
          <color theme="0"/>
        </stop>
        <stop position="1">
          <color theme="0" tint="-0.25098422193060094"/>
        </stop>
      </gradientFill>
    </fill>
    <fill>
      <gradientFill degree="180">
        <stop position="0">
          <color theme="0"/>
        </stop>
        <stop position="1">
          <color theme="0" tint="-0.25098422193060094"/>
        </stop>
      </gradientFill>
    </fill>
    <fill>
      <gradientFill degree="90">
        <stop position="0">
          <color theme="0" tint="-0.49803155613879818"/>
        </stop>
        <stop position="1">
          <color theme="0" tint="-5.0965910824915313E-2"/>
        </stop>
      </gradientFill>
    </fill>
    <fill>
      <gradientFill type="path" left="1" right="1" top="1" bottom="1">
        <stop position="0">
          <color theme="0"/>
        </stop>
        <stop position="1">
          <color theme="0" tint="-0.25098422193060094"/>
        </stop>
      </gradient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0E45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1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ck">
        <color theme="6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ck">
        <color theme="6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ck">
        <color theme="6"/>
      </top>
      <bottom/>
      <diagonal/>
    </border>
    <border>
      <left/>
      <right/>
      <top style="thick">
        <color theme="0" tint="-0.34998626667073579"/>
      </top>
      <bottom/>
      <diagonal/>
    </border>
    <border>
      <left/>
      <right style="thick">
        <color theme="0" tint="-0.34998626667073579"/>
      </right>
      <top/>
      <bottom/>
      <diagonal/>
    </border>
    <border>
      <left style="thin">
        <color theme="0" tint="-0.34998626667073579"/>
      </left>
      <right style="thick">
        <color theme="0" tint="-0.34998626667073579"/>
      </right>
      <top/>
      <bottom/>
      <diagonal/>
    </border>
    <border>
      <left style="hair">
        <color theme="6"/>
      </left>
      <right style="hair">
        <color theme="6"/>
      </right>
      <top style="hair">
        <color theme="6"/>
      </top>
      <bottom style="hair">
        <color theme="6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6"/>
      </right>
      <top/>
      <bottom/>
      <diagonal/>
    </border>
    <border>
      <left style="thick">
        <color theme="0" tint="-0.24994659260841701"/>
      </left>
      <right/>
      <top/>
      <bottom style="hair">
        <color theme="0" tint="-0.24994659260841701"/>
      </bottom>
      <diagonal/>
    </border>
    <border>
      <left/>
      <right style="thick">
        <color theme="6"/>
      </right>
      <top/>
      <bottom style="hair">
        <color theme="6"/>
      </bottom>
      <diagonal/>
    </border>
    <border>
      <left style="thick">
        <color theme="6"/>
      </left>
      <right style="hair">
        <color theme="6"/>
      </right>
      <top style="hair">
        <color theme="6"/>
      </top>
      <bottom style="hair">
        <color theme="6"/>
      </bottom>
      <diagonal/>
    </border>
    <border>
      <left style="hair">
        <color theme="6"/>
      </left>
      <right/>
      <top/>
      <bottom/>
      <diagonal/>
    </border>
    <border>
      <left style="hair">
        <color theme="6"/>
      </left>
      <right/>
      <top style="hair">
        <color theme="6"/>
      </top>
      <bottom/>
      <diagonal/>
    </border>
    <border>
      <left/>
      <right style="hair">
        <color theme="6"/>
      </right>
      <top style="hair">
        <color theme="6"/>
      </top>
      <bottom/>
      <diagonal/>
    </border>
    <border>
      <left style="hair">
        <color theme="6"/>
      </left>
      <right/>
      <top/>
      <bottom style="hair">
        <color theme="6"/>
      </bottom>
      <diagonal/>
    </border>
    <border>
      <left/>
      <right style="hair">
        <color theme="6"/>
      </right>
      <top/>
      <bottom style="hair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3" tint="0.39997558519241921"/>
      </bottom>
      <diagonal/>
    </border>
    <border>
      <left/>
      <right/>
      <top style="thick">
        <color theme="3" tint="0.39997558519241921"/>
      </top>
      <bottom/>
      <diagonal/>
    </border>
    <border>
      <left/>
      <right style="thick">
        <color theme="3" tint="0.39997558519241921"/>
      </right>
      <top/>
      <bottom/>
      <diagonal/>
    </border>
    <border>
      <left style="thick">
        <color theme="3" tint="0.39997558519241921"/>
      </left>
      <right/>
      <top/>
      <bottom style="hair">
        <color theme="0" tint="-0.24994659260841701"/>
      </bottom>
      <diagonal/>
    </border>
    <border>
      <left style="thick">
        <color theme="3" tint="0.39997558519241921"/>
      </left>
      <right/>
      <top/>
      <bottom/>
      <diagonal/>
    </border>
    <border>
      <left style="thick">
        <color theme="4" tint="-0.249977111117893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249977111117893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249977111117893"/>
      </left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24994659260841701"/>
      </top>
      <bottom style="hair">
        <color theme="0" tint="-0.499984740745262"/>
      </bottom>
      <diagonal/>
    </border>
    <border>
      <left/>
      <right style="hair">
        <color theme="0" tint="-0.249977111117893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249977111117893"/>
      </right>
      <top/>
      <bottom style="hair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thick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/>
      <bottom/>
      <diagonal/>
    </border>
    <border>
      <left/>
      <right style="hair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/>
      <right/>
      <top style="hair">
        <color theme="8" tint="-0.24994659260841701"/>
      </top>
      <bottom style="hair">
        <color theme="8" tint="-0.24994659260841701"/>
      </bottom>
      <diagonal/>
    </border>
    <border>
      <left/>
      <right/>
      <top style="dotted">
        <color theme="8" tint="-0.24994659260841701"/>
      </top>
      <bottom/>
      <diagonal/>
    </border>
    <border>
      <left style="hair">
        <color theme="8" tint="-0.24994659260841701"/>
      </left>
      <right/>
      <top style="hair">
        <color theme="8" tint="-0.24994659260841701"/>
      </top>
      <bottom/>
      <diagonal/>
    </border>
    <border>
      <left/>
      <right/>
      <top style="hair">
        <color theme="8" tint="-0.24994659260841701"/>
      </top>
      <bottom/>
      <diagonal/>
    </border>
    <border>
      <left style="hair">
        <color theme="8" tint="-0.24994659260841701"/>
      </left>
      <right/>
      <top style="hair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/>
      <top/>
      <bottom/>
      <diagonal/>
    </border>
    <border>
      <left/>
      <right/>
      <top/>
      <bottom style="hair">
        <color theme="8" tint="-0.24994659260841701"/>
      </bottom>
      <diagonal/>
    </border>
    <border>
      <left/>
      <right/>
      <top style="hair">
        <color theme="4"/>
      </top>
      <bottom style="hair">
        <color theme="4"/>
      </bottom>
      <diagonal/>
    </border>
    <border>
      <left/>
      <right style="hair">
        <color theme="8" tint="-0.24994659260841701"/>
      </right>
      <top style="hair">
        <color theme="4"/>
      </top>
      <bottom style="hair">
        <color theme="8" tint="-0.24994659260841701"/>
      </bottom>
      <diagonal/>
    </border>
    <border>
      <left/>
      <right/>
      <top style="hair">
        <color theme="4"/>
      </top>
      <bottom style="hair">
        <color theme="8" tint="-0.24994659260841701"/>
      </bottom>
      <diagonal/>
    </border>
    <border>
      <left/>
      <right style="hair">
        <color theme="4"/>
      </right>
      <top style="hair">
        <color theme="4"/>
      </top>
      <bottom style="hair">
        <color theme="4"/>
      </bottom>
      <diagonal/>
    </border>
    <border>
      <left/>
      <right/>
      <top style="hair">
        <color theme="4"/>
      </top>
      <bottom/>
      <diagonal/>
    </border>
    <border>
      <left style="medium">
        <color theme="9" tint="-0.249977111117893"/>
      </left>
      <right style="hair">
        <color theme="8" tint="-0.24994659260841701"/>
      </right>
      <top style="medium">
        <color theme="9" tint="-0.249977111117893"/>
      </top>
      <bottom/>
      <diagonal/>
    </border>
    <border>
      <left style="hair">
        <color theme="8" tint="-0.24994659260841701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hair">
        <color theme="8" tint="-0.24994659260841701"/>
      </right>
      <top/>
      <bottom/>
      <diagonal/>
    </border>
    <border>
      <left style="medium">
        <color theme="9" tint="-0.249977111117893"/>
      </left>
      <right style="hair">
        <color theme="8" tint="-0.24994659260841701"/>
      </right>
      <top/>
      <bottom style="medium">
        <color theme="9" tint="-0.249977111117893"/>
      </bottom>
      <diagonal/>
    </border>
    <border>
      <left style="hair">
        <color theme="8" tint="-0.24994659260841701"/>
      </left>
      <right/>
      <top style="hair">
        <color theme="8" tint="-0.24994659260841701"/>
      </top>
      <bottom style="medium">
        <color theme="9" tint="-0.249977111117893"/>
      </bottom>
      <diagonal/>
    </border>
    <border>
      <left/>
      <right/>
      <top style="hair">
        <color theme="8" tint="-0.24994659260841701"/>
      </top>
      <bottom style="medium">
        <color theme="9" tint="-0.249977111117893"/>
      </bottom>
      <diagonal/>
    </border>
    <border>
      <left style="hair">
        <color theme="8" tint="-0.24994659260841701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 style="hair">
        <color theme="8" tint="-0.24994659260841701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hair">
        <color theme="8" tint="-0.24994659260841701"/>
      </right>
      <top style="medium">
        <color theme="9" tint="-0.249977111117893"/>
      </top>
      <bottom style="hair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medium">
        <color theme="9" tint="-0.249977111117893"/>
      </top>
      <bottom style="hair">
        <color theme="8" tint="-0.24994659260841701"/>
      </bottom>
      <diagonal/>
    </border>
    <border>
      <left style="hair">
        <color theme="8" tint="-0.24994659260841701"/>
      </left>
      <right/>
      <top style="medium">
        <color theme="9" tint="-0.249977111117893"/>
      </top>
      <bottom style="hair">
        <color theme="8" tint="-0.24994659260841701"/>
      </bottom>
      <diagonal/>
    </border>
    <border>
      <left/>
      <right style="hair">
        <color theme="8" tint="-0.24994659260841701"/>
      </right>
      <top style="medium">
        <color theme="9" tint="-0.249977111117893"/>
      </top>
      <bottom style="hair">
        <color theme="8" tint="-0.24994659260841701"/>
      </bottom>
      <diagonal/>
    </border>
    <border>
      <left style="hair">
        <color theme="8" tint="-0.24994659260841701"/>
      </left>
      <right style="medium">
        <color theme="9" tint="-0.249977111117893"/>
      </right>
      <top style="medium">
        <color theme="9" tint="-0.249977111117893"/>
      </top>
      <bottom style="hair">
        <color theme="8" tint="-0.24994659260841701"/>
      </bottom>
      <diagonal/>
    </border>
    <border>
      <left style="medium">
        <color theme="9" tint="-0.249977111117893"/>
      </left>
      <right style="hair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medium">
        <color theme="9" tint="-0.249977111117893"/>
      </right>
      <top style="hair">
        <color theme="8" tint="-0.24994659260841701"/>
      </top>
      <bottom style="hair">
        <color theme="8" tint="-0.24994659260841701"/>
      </bottom>
      <diagonal/>
    </border>
    <border>
      <left style="medium">
        <color theme="9" tint="-0.249977111117893"/>
      </left>
      <right style="hair">
        <color theme="8" tint="-0.24994659260841701"/>
      </right>
      <top style="hair">
        <color theme="8" tint="-0.24994659260841701"/>
      </top>
      <bottom style="medium">
        <color theme="9" tint="-0.249977111117893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medium">
        <color theme="9" tint="-0.249977111117893"/>
      </bottom>
      <diagonal/>
    </border>
    <border>
      <left style="hair">
        <color theme="8" tint="-0.24994659260841701"/>
      </left>
      <right style="medium">
        <color theme="9" tint="-0.249977111117893"/>
      </right>
      <top style="hair">
        <color theme="8" tint="-0.24994659260841701"/>
      </top>
      <bottom style="medium">
        <color theme="9" tint="-0.249977111117893"/>
      </bottom>
      <diagonal/>
    </border>
    <border>
      <left style="medium">
        <color theme="9" tint="-0.249977111117893"/>
      </left>
      <right style="hair">
        <color theme="8" tint="-0.24994659260841701"/>
      </right>
      <top style="medium">
        <color theme="9" tint="-0.249977111117893"/>
      </top>
      <bottom style="medium">
        <color theme="9" tint="-0.249977111117893"/>
      </bottom>
      <diagonal/>
    </border>
    <border>
      <left style="hair">
        <color theme="8" tint="-0.24994659260841701"/>
      </left>
      <right style="hair">
        <color theme="8" tint="-0.24994659260841701"/>
      </right>
      <top style="medium">
        <color theme="9" tint="-0.249977111117893"/>
      </top>
      <bottom style="medium">
        <color theme="9" tint="-0.249977111117893"/>
      </bottom>
      <diagonal/>
    </border>
    <border>
      <left style="hair">
        <color theme="8" tint="-0.24994659260841701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hair">
        <color theme="8" tint="-0.24994659260841701"/>
      </right>
      <top style="medium">
        <color theme="9" tint="-0.249977111117893"/>
      </top>
      <bottom style="medium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medium">
        <color theme="9" tint="-0.249977111117893"/>
      </top>
      <bottom style="thin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medium">
        <color theme="9" tint="-0.249977111117893"/>
      </top>
      <bottom style="thin">
        <color theme="8" tint="-0.24994659260841701"/>
      </bottom>
      <diagonal/>
    </border>
    <border>
      <left style="hair">
        <color theme="8" tint="-0.24994659260841701"/>
      </left>
      <right style="medium">
        <color theme="9" tint="-0.249977111117893"/>
      </right>
      <top style="medium">
        <color theme="9" tint="-0.249977111117893"/>
      </top>
      <bottom style="thin">
        <color theme="8" tint="-0.24994659260841701"/>
      </bottom>
      <diagonal/>
    </border>
    <border>
      <left style="medium">
        <color theme="9" tint="-0.249977111117893"/>
      </left>
      <right/>
      <top/>
      <bottom style="hair">
        <color theme="8" tint="-0.24994659260841701"/>
      </bottom>
      <diagonal/>
    </border>
    <border>
      <left style="medium">
        <color theme="9" tint="-0.249977111117893"/>
      </left>
      <right style="hair">
        <color theme="8" tint="-0.24994659260841701"/>
      </right>
      <top style="hair">
        <color theme="8" tint="-0.24994659260841701"/>
      </top>
      <bottom/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hair">
        <color theme="8" tint="-0.24994659260841701"/>
      </bottom>
      <diagonal/>
    </border>
    <border>
      <left/>
      <right/>
      <top style="medium">
        <color theme="9" tint="-0.249977111117893"/>
      </top>
      <bottom style="hair">
        <color theme="8" tint="-0.24994659260841701"/>
      </bottom>
      <diagonal/>
    </border>
    <border>
      <left/>
      <right/>
      <top style="medium">
        <color theme="9" tint="-0.249977111117893"/>
      </top>
      <bottom style="hair">
        <color theme="4"/>
      </bottom>
      <diagonal/>
    </border>
    <border>
      <left/>
      <right style="hair">
        <color theme="4"/>
      </right>
      <top style="medium">
        <color theme="9" tint="-0.249977111117893"/>
      </top>
      <bottom style="hair">
        <color theme="4"/>
      </bottom>
      <diagonal/>
    </border>
    <border>
      <left style="medium">
        <color theme="9" tint="-0.249977111117893"/>
      </left>
      <right/>
      <top style="hair">
        <color theme="8" tint="-0.24994659260841701"/>
      </top>
      <bottom style="hair">
        <color theme="8" tint="-0.24994659260841701"/>
      </bottom>
      <diagonal/>
    </border>
    <border>
      <left/>
      <right style="medium">
        <color theme="9" tint="-0.249977111117893"/>
      </right>
      <top style="hair">
        <color theme="8" tint="-0.24994659260841701"/>
      </top>
      <bottom style="hair">
        <color theme="8" tint="-0.24994659260841701"/>
      </bottom>
      <diagonal/>
    </border>
    <border>
      <left style="medium">
        <color theme="9" tint="-0.249977111117893"/>
      </left>
      <right/>
      <top style="hair">
        <color theme="8" tint="-0.24994659260841701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hair">
        <color theme="8" tint="-0.24994659260841701"/>
      </left>
      <right style="hair">
        <color theme="8" tint="-0.24994659260841701"/>
      </right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 style="hair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/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 style="medium">
        <color theme="9" tint="-0.249977111117893"/>
      </left>
      <right style="hair">
        <color theme="8" tint="-0.24994659260841701"/>
      </right>
      <top/>
      <bottom style="hair">
        <color theme="8" tint="-0.24994659260841701"/>
      </bottom>
      <diagonal/>
    </border>
    <border>
      <left/>
      <right style="hair">
        <color theme="0" tint="-0.249977111117893"/>
      </right>
      <top style="medium">
        <color theme="9" tint="-0.249977111117893"/>
      </top>
      <bottom style="hair">
        <color theme="8" tint="-0.24994659260841701"/>
      </bottom>
      <diagonal/>
    </border>
    <border>
      <left style="hair">
        <color theme="0" tint="-0.249977111117893"/>
      </left>
      <right/>
      <top style="medium">
        <color theme="9" tint="-0.249977111117893"/>
      </top>
      <bottom style="hair">
        <color theme="8" tint="-0.24994659260841701"/>
      </bottom>
      <diagonal/>
    </border>
    <border>
      <left style="hair">
        <color theme="0" tint="-0.249977111117893"/>
      </left>
      <right style="hair">
        <color theme="0" tint="-0.249977111117893"/>
      </right>
      <top style="medium">
        <color theme="9" tint="-0.249977111117893"/>
      </top>
      <bottom style="hair">
        <color theme="8" tint="-0.24994659260841701"/>
      </bottom>
      <diagonal/>
    </border>
    <border>
      <left/>
      <right style="medium">
        <color theme="9" tint="-0.249977111117893"/>
      </right>
      <top/>
      <bottom style="hair">
        <color theme="0" tint="-0.499984740745262"/>
      </bottom>
      <diagonal/>
    </border>
    <border>
      <left/>
      <right style="medium">
        <color theme="9" tint="-0.249977111117893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 style="hair">
        <color theme="0" tint="-0.249977111117893"/>
      </right>
      <top/>
      <bottom style="medium">
        <color theme="9" tint="-0.249977111117893"/>
      </bottom>
      <diagonal/>
    </border>
    <border>
      <left style="hair">
        <color theme="0" tint="-0.249977111117893"/>
      </left>
      <right/>
      <top/>
      <bottom style="medium">
        <color theme="9" tint="-0.249977111117893"/>
      </bottom>
      <diagonal/>
    </border>
    <border>
      <left/>
      <right style="hair">
        <color theme="0" tint="-0.499984740745262"/>
      </right>
      <top style="hair">
        <color theme="0" tint="-0.24994659260841701"/>
      </top>
      <bottom style="medium">
        <color theme="9" tint="-0.249977111117893"/>
      </bottom>
      <diagonal/>
    </border>
    <border>
      <left style="hair">
        <color theme="0" tint="-0.249977111117893"/>
      </left>
      <right/>
      <top style="hair">
        <color theme="8" tint="-0.24994659260841701"/>
      </top>
      <bottom style="hair">
        <color theme="0" tint="-0.499984740745262"/>
      </bottom>
      <diagonal/>
    </border>
    <border>
      <left/>
      <right style="hair">
        <color theme="0" tint="-0.24994659260841701"/>
      </right>
      <top style="hair">
        <color theme="8" tint="-0.24994659260841701"/>
      </top>
      <bottom style="hair">
        <color theme="0" tint="-0.499984740745262"/>
      </bottom>
      <diagonal/>
    </border>
    <border>
      <left style="hair">
        <color theme="0" tint="-0.249977111117893"/>
      </left>
      <right/>
      <top style="hair">
        <color theme="8" tint="-0.24994659260841701"/>
      </top>
      <bottom style="medium">
        <color theme="9" tint="-0.249977111117893"/>
      </bottom>
      <diagonal/>
    </border>
    <border>
      <left/>
      <right style="hair">
        <color theme="0" tint="-0.24994659260841701"/>
      </right>
      <top style="hair">
        <color theme="8" tint="-0.24994659260841701"/>
      </top>
      <bottom style="medium">
        <color theme="9" tint="-0.249977111117893"/>
      </bottom>
      <diagonal/>
    </border>
    <border>
      <left style="hair">
        <color theme="8" tint="-0.24994659260841701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rgb="FF303C18"/>
      </left>
      <right style="thin">
        <color rgb="FF303C18"/>
      </right>
      <top style="thin">
        <color rgb="FF303C18"/>
      </top>
      <bottom style="thin">
        <color rgb="FF303C18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hair">
        <color theme="8" tint="-0.249977111117893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77111117893"/>
      </top>
      <bottom/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77111117893"/>
      </top>
      <bottom style="hair">
        <color theme="8" tint="-0.249977111117893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77111117893"/>
      </top>
      <bottom style="medium">
        <color theme="9" tint="-0.249977111117893"/>
      </bottom>
      <diagonal/>
    </border>
    <border>
      <left/>
      <right style="hair">
        <color theme="4"/>
      </right>
      <top style="hair">
        <color theme="8" tint="-0.24994659260841701"/>
      </top>
      <bottom style="hair">
        <color theme="8" tint="-0.24994659260841701"/>
      </bottom>
      <diagonal/>
    </border>
    <border>
      <left/>
      <right/>
      <top style="thin">
        <color theme="1"/>
      </top>
      <bottom/>
      <diagonal/>
    </border>
    <border>
      <left/>
      <right/>
      <top style="hair">
        <color theme="4" tint="-0.249977111117893"/>
      </top>
      <bottom/>
      <diagonal/>
    </border>
    <border>
      <left/>
      <right/>
      <top style="hair">
        <color theme="4" tint="-0.249977111117893"/>
      </top>
      <bottom style="medium">
        <color theme="9" tint="-0.249977111117893"/>
      </bottom>
      <diagonal/>
    </border>
    <border>
      <left/>
      <right/>
      <top style="hair">
        <color theme="4" tint="-0.249977111117893"/>
      </top>
      <bottom style="hair">
        <color theme="4" tint="-0.249977111117893"/>
      </bottom>
      <diagonal/>
    </border>
    <border>
      <left/>
      <right/>
      <top/>
      <bottom style="hair">
        <color theme="4" tint="-0.249977111117893"/>
      </bottom>
      <diagonal/>
    </border>
    <border>
      <left/>
      <right style="medium">
        <color theme="9" tint="-0.249977111117893"/>
      </right>
      <top style="hair">
        <color theme="4" tint="-0.249977111117893"/>
      </top>
      <bottom style="hair">
        <color theme="4" tint="-0.249977111117893"/>
      </bottom>
      <diagonal/>
    </border>
    <border>
      <left/>
      <right style="medium">
        <color theme="9" tint="-0.249977111117893"/>
      </right>
      <top style="hair">
        <color theme="4" tint="-0.249977111117893"/>
      </top>
      <bottom style="medium">
        <color theme="9" tint="-0.249977111117893"/>
      </bottom>
      <diagonal/>
    </border>
    <border>
      <left/>
      <right style="medium">
        <color theme="9" tint="-0.249977111117893"/>
      </right>
      <top style="thin">
        <color theme="8" tint="-0.24994659260841701"/>
      </top>
      <bottom/>
      <diagonal/>
    </border>
    <border>
      <left/>
      <right/>
      <top style="medium">
        <color theme="9" tint="-0.249977111117893"/>
      </top>
      <bottom style="hair">
        <color theme="4" tint="-0.249977111117893"/>
      </bottom>
      <diagonal/>
    </border>
    <border>
      <left style="hair">
        <color theme="4"/>
      </left>
      <right/>
      <top style="hair">
        <color theme="4" tint="-0.249977111117893"/>
      </top>
      <bottom style="hair">
        <color theme="4" tint="-0.249977111117893"/>
      </bottom>
      <diagonal/>
    </border>
    <border>
      <left style="hair">
        <color theme="8" tint="-0.24994659260841701"/>
      </left>
      <right/>
      <top style="hair">
        <color theme="4" tint="-0.249977111117893"/>
      </top>
      <bottom style="hair">
        <color theme="4" tint="-0.249977111117893"/>
      </bottom>
      <diagonal/>
    </border>
    <border>
      <left style="hair">
        <color theme="4" tint="-0.249977111117893"/>
      </left>
      <right/>
      <top style="hair">
        <color theme="8" tint="-0.24994659260841701"/>
      </top>
      <bottom style="medium">
        <color theme="9" tint="-0.249977111117893"/>
      </bottom>
      <diagonal/>
    </border>
    <border>
      <left style="hair">
        <color theme="4" tint="-0.249977111117893"/>
      </left>
      <right/>
      <top style="hair">
        <color theme="8" tint="-0.24994659260841701"/>
      </top>
      <bottom style="hair">
        <color theme="8" tint="-0.24994659260841701"/>
      </bottom>
      <diagonal/>
    </border>
    <border>
      <left style="hair">
        <color theme="4" tint="-0.249977111117893"/>
      </left>
      <right/>
      <top style="hair">
        <color theme="4"/>
      </top>
      <bottom style="hair">
        <color theme="8" tint="-0.24994659260841701"/>
      </bottom>
      <diagonal/>
    </border>
    <border>
      <left style="hair">
        <color theme="4" tint="-0.249977111117893"/>
      </left>
      <right/>
      <top style="medium">
        <color theme="9" tint="-0.249977111117893"/>
      </top>
      <bottom style="hair">
        <color theme="4"/>
      </bottom>
      <diagonal/>
    </border>
    <border>
      <left style="hair">
        <color theme="4" tint="-0.249977111117893"/>
      </left>
      <right/>
      <top style="hair">
        <color theme="4"/>
      </top>
      <bottom style="hair">
        <color theme="4"/>
      </bottom>
      <diagonal/>
    </border>
    <border>
      <left/>
      <right style="hair">
        <color theme="4" tint="-0.249977111117893"/>
      </right>
      <top style="hair">
        <color theme="4" tint="-0.249977111117893"/>
      </top>
      <bottom style="hair">
        <color theme="4" tint="-0.249977111117893"/>
      </bottom>
      <diagonal/>
    </border>
    <border>
      <left style="hair">
        <color theme="4"/>
      </left>
      <right/>
      <top style="hair">
        <color theme="4" tint="-0.249977111117893"/>
      </top>
      <bottom style="medium">
        <color theme="9" tint="-0.249977111117893"/>
      </bottom>
      <diagonal/>
    </border>
    <border>
      <left style="hair">
        <color theme="4" tint="0.39997558519241921"/>
      </left>
      <right style="hair">
        <color theme="4" tint="0.39997558519241921"/>
      </right>
      <top style="hair">
        <color theme="4" tint="0.39997558519241921"/>
      </top>
      <bottom style="hair">
        <color theme="4" tint="0.39997558519241921"/>
      </bottom>
      <diagonal/>
    </border>
    <border>
      <left/>
      <right style="hair">
        <color theme="8" tint="-0.24994659260841701"/>
      </right>
      <top style="medium">
        <color theme="9" tint="-0.249977111117893"/>
      </top>
      <bottom/>
      <diagonal/>
    </border>
    <border>
      <left style="hair">
        <color theme="8" tint="-0.24994659260841701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hair">
        <color theme="4" tint="0.39997558519241921"/>
      </left>
      <right style="hair">
        <color theme="4" tint="0.39997558519241921"/>
      </right>
      <top style="medium">
        <color theme="9" tint="-0.249977111117893"/>
      </top>
      <bottom style="hair">
        <color theme="4" tint="0.39997558519241921"/>
      </bottom>
      <diagonal/>
    </border>
    <border>
      <left style="hair">
        <color theme="4" tint="0.39997558519241921"/>
      </left>
      <right style="medium">
        <color theme="9" tint="-0.249977111117893"/>
      </right>
      <top style="medium">
        <color theme="9" tint="-0.249977111117893"/>
      </top>
      <bottom style="hair">
        <color theme="4" tint="0.39997558519241921"/>
      </bottom>
      <diagonal/>
    </border>
    <border>
      <left style="medium">
        <color theme="9" tint="-0.249977111117893"/>
      </left>
      <right style="hair">
        <color theme="4" tint="0.39997558519241921"/>
      </right>
      <top style="hair">
        <color theme="4" tint="0.39997558519241921"/>
      </top>
      <bottom style="hair">
        <color theme="4" tint="0.39997558519241921"/>
      </bottom>
      <diagonal/>
    </border>
    <border>
      <left style="hair">
        <color theme="4" tint="0.39997558519241921"/>
      </left>
      <right style="medium">
        <color theme="9" tint="-0.249977111117893"/>
      </right>
      <top style="hair">
        <color theme="4" tint="0.39997558519241921"/>
      </top>
      <bottom style="hair">
        <color theme="4" tint="0.39997558519241921"/>
      </bottom>
      <diagonal/>
    </border>
    <border>
      <left/>
      <right/>
      <top style="hair">
        <color theme="4" tint="0.39997558519241921"/>
      </top>
      <bottom style="hair">
        <color theme="4" tint="0.39997558519241921"/>
      </bottom>
      <diagonal/>
    </border>
    <border>
      <left/>
      <right style="hair">
        <color theme="4" tint="0.39997558519241921"/>
      </right>
      <top style="hair">
        <color theme="4" tint="0.39997558519241921"/>
      </top>
      <bottom style="hair">
        <color theme="4" tint="0.39997558519241921"/>
      </bottom>
      <diagonal/>
    </border>
    <border>
      <left style="hair">
        <color theme="4" tint="0.39997558519241921"/>
      </left>
      <right/>
      <top style="hair">
        <color theme="4" tint="0.39997558519241921"/>
      </top>
      <bottom style="hair">
        <color theme="4" tint="0.39997558519241921"/>
      </bottom>
      <diagonal/>
    </border>
    <border>
      <left style="medium">
        <color indexed="64"/>
      </left>
      <right style="medium">
        <color theme="9" tint="-0.249977111117893"/>
      </right>
      <top style="medium">
        <color indexed="64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indexed="64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indexed="64"/>
      </right>
      <top style="medium">
        <color indexed="64"/>
      </top>
      <bottom style="medium">
        <color theme="9" tint="-0.24997711111789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theme="9" tint="-0.249977111117893"/>
      </right>
      <top/>
      <bottom style="hair">
        <color theme="8" tint="-0.24994659260841701"/>
      </bottom>
      <diagonal/>
    </border>
    <border>
      <left/>
      <right style="medium">
        <color theme="9" tint="-0.249977111117893"/>
      </right>
      <top style="hair">
        <color theme="8" tint="-0.24994659260841701"/>
      </top>
      <bottom/>
      <diagonal/>
    </border>
    <border>
      <left/>
      <right/>
      <top style="hair">
        <color indexed="64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 style="hair">
        <color theme="4" tint="0.39997558519241921"/>
      </top>
      <bottom style="hair">
        <color theme="4" tint="0.39997558519241921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hair">
        <color theme="4" tint="0.39997558519241921"/>
      </bottom>
      <diagonal/>
    </border>
    <border>
      <left/>
      <right/>
      <top style="medium">
        <color theme="9" tint="-0.249977111117893"/>
      </top>
      <bottom style="hair">
        <color theme="4" tint="0.39997558519241921"/>
      </bottom>
      <diagonal/>
    </border>
    <border>
      <left/>
      <right style="hair">
        <color theme="4" tint="0.39997558519241921"/>
      </right>
      <top style="medium">
        <color theme="9" tint="-0.249977111117893"/>
      </top>
      <bottom style="hair">
        <color theme="4" tint="0.39997558519241921"/>
      </bottom>
      <diagonal/>
    </border>
    <border>
      <left style="hair">
        <color theme="4" tint="0.39997558519241921"/>
      </left>
      <right/>
      <top style="medium">
        <color theme="9" tint="-0.249977111117893"/>
      </top>
      <bottom style="hair">
        <color theme="4" tint="0.39997558519241921"/>
      </bottom>
      <diagonal/>
    </border>
  </borders>
  <cellStyleXfs count="35">
    <xf numFmtId="0" fontId="0" fillId="0" borderId="0"/>
    <xf numFmtId="0" fontId="8" fillId="0" borderId="0"/>
    <xf numFmtId="0" fontId="7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7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16" fillId="0" borderId="0"/>
    <xf numFmtId="0" fontId="3" fillId="0" borderId="0"/>
    <xf numFmtId="0" fontId="35" fillId="19" borderId="1">
      <alignment vertical="center" wrapText="1"/>
    </xf>
    <xf numFmtId="0" fontId="2" fillId="0" borderId="0"/>
    <xf numFmtId="0" fontId="2" fillId="0" borderId="0"/>
    <xf numFmtId="0" fontId="8" fillId="0" borderId="0"/>
    <xf numFmtId="0" fontId="7" fillId="0" borderId="0"/>
    <xf numFmtId="9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144" fillId="0" borderId="0" applyFont="0" applyFill="0" applyBorder="0" applyAlignment="0" applyProtection="0"/>
  </cellStyleXfs>
  <cellXfs count="732">
    <xf numFmtId="0" fontId="0" fillId="0" borderId="0" xfId="0"/>
    <xf numFmtId="0" fontId="6" fillId="0" borderId="0" xfId="0" applyFont="1" applyAlignment="1">
      <alignment horizontal="right"/>
    </xf>
    <xf numFmtId="0" fontId="12" fillId="7" borderId="0" xfId="2" applyFont="1" applyFill="1"/>
    <xf numFmtId="0" fontId="12" fillId="4" borderId="0" xfId="2" applyFont="1" applyFill="1"/>
    <xf numFmtId="0" fontId="13" fillId="4" borderId="0" xfId="2" applyFont="1" applyFill="1" applyAlignment="1">
      <alignment horizontal="right"/>
    </xf>
    <xf numFmtId="0" fontId="12" fillId="5" borderId="0" xfId="2" applyFont="1" applyFill="1"/>
    <xf numFmtId="0" fontId="0" fillId="2" borderId="0" xfId="0" applyFill="1"/>
    <xf numFmtId="0" fontId="6" fillId="2" borderId="0" xfId="0" applyFont="1" applyFill="1" applyAlignment="1">
      <alignment horizontal="right"/>
    </xf>
    <xf numFmtId="0" fontId="12" fillId="2" borderId="0" xfId="2" applyFont="1" applyFill="1" applyAlignment="1">
      <alignment vertical="center"/>
    </xf>
    <xf numFmtId="0" fontId="12" fillId="0" borderId="2" xfId="2" applyFont="1" applyBorder="1" applyAlignment="1">
      <alignment vertical="center"/>
    </xf>
    <xf numFmtId="0" fontId="18" fillId="0" borderId="3" xfId="2" applyFont="1" applyBorder="1" applyAlignment="1">
      <alignment horizontal="right" vertical="center"/>
    </xf>
    <xf numFmtId="0" fontId="17" fillId="0" borderId="3" xfId="2" applyFont="1" applyBorder="1" applyAlignment="1">
      <alignment horizontal="center" vertical="center"/>
    </xf>
    <xf numFmtId="0" fontId="12" fillId="0" borderId="3" xfId="2" applyFont="1" applyBorder="1" applyAlignment="1">
      <alignment vertical="center"/>
    </xf>
    <xf numFmtId="0" fontId="12" fillId="0" borderId="4" xfId="2" applyFont="1" applyBorder="1" applyAlignment="1">
      <alignment vertical="center"/>
    </xf>
    <xf numFmtId="0" fontId="12" fillId="0" borderId="5" xfId="2" applyFont="1" applyBorder="1" applyAlignment="1">
      <alignment vertical="center"/>
    </xf>
    <xf numFmtId="0" fontId="12" fillId="0" borderId="0" xfId="2" applyFont="1" applyAlignment="1">
      <alignment vertical="center"/>
    </xf>
    <xf numFmtId="0" fontId="12" fillId="0" borderId="7" xfId="2" applyFont="1" applyBorder="1" applyAlignment="1">
      <alignment vertical="center"/>
    </xf>
    <xf numFmtId="0" fontId="18" fillId="0" borderId="0" xfId="2" applyFont="1" applyAlignment="1">
      <alignment horizontal="right" vertical="center"/>
    </xf>
    <xf numFmtId="0" fontId="17" fillId="0" borderId="0" xfId="2" applyFont="1" applyAlignment="1">
      <alignment horizontal="center" vertical="center"/>
    </xf>
    <xf numFmtId="0" fontId="18" fillId="0" borderId="13" xfId="2" applyFont="1" applyBorder="1" applyAlignment="1">
      <alignment horizontal="right" vertical="center"/>
    </xf>
    <xf numFmtId="0" fontId="17" fillId="0" borderId="13" xfId="2" applyFont="1" applyBorder="1" applyAlignment="1">
      <alignment vertical="center"/>
    </xf>
    <xf numFmtId="0" fontId="17" fillId="0" borderId="0" xfId="2" applyFont="1" applyAlignment="1">
      <alignment horizontal="left" vertical="center"/>
    </xf>
    <xf numFmtId="0" fontId="18" fillId="0" borderId="0" xfId="2" applyFont="1" applyAlignment="1">
      <alignment horizontal="center" vertical="center"/>
    </xf>
    <xf numFmtId="0" fontId="17" fillId="0" borderId="0" xfId="2" applyFont="1" applyAlignment="1">
      <alignment vertical="center"/>
    </xf>
    <xf numFmtId="0" fontId="22" fillId="8" borderId="0" xfId="2" applyFont="1" applyFill="1" applyAlignment="1">
      <alignment vertical="center"/>
    </xf>
    <xf numFmtId="165" fontId="23" fillId="8" borderId="0" xfId="2" applyNumberFormat="1" applyFont="1" applyFill="1" applyAlignment="1">
      <alignment horizontal="left" vertical="center"/>
    </xf>
    <xf numFmtId="0" fontId="12" fillId="0" borderId="10" xfId="2" applyFont="1" applyBorder="1" applyAlignment="1">
      <alignment vertical="center"/>
    </xf>
    <xf numFmtId="164" fontId="18" fillId="0" borderId="11" xfId="2" applyNumberFormat="1" applyFont="1" applyBorder="1" applyAlignment="1">
      <alignment horizontal="right" vertical="center"/>
    </xf>
    <xf numFmtId="0" fontId="17" fillId="0" borderId="11" xfId="2" applyFont="1" applyBorder="1" applyAlignment="1">
      <alignment vertical="center"/>
    </xf>
    <xf numFmtId="165" fontId="12" fillId="0" borderId="11" xfId="2" applyNumberFormat="1" applyFont="1" applyBorder="1" applyAlignment="1">
      <alignment vertical="center"/>
    </xf>
    <xf numFmtId="0" fontId="12" fillId="0" borderId="12" xfId="2" applyFont="1" applyBorder="1" applyAlignment="1">
      <alignment vertical="center"/>
    </xf>
    <xf numFmtId="0" fontId="12" fillId="6" borderId="0" xfId="2" applyFont="1" applyFill="1" applyAlignment="1">
      <alignment vertical="center"/>
    </xf>
    <xf numFmtId="164" fontId="13" fillId="2" borderId="0" xfId="2" applyNumberFormat="1" applyFont="1" applyFill="1" applyAlignment="1">
      <alignment horizontal="right" vertical="center"/>
    </xf>
    <xf numFmtId="165" fontId="12" fillId="2" borderId="0" xfId="2" applyNumberFormat="1" applyFont="1" applyFill="1" applyAlignment="1">
      <alignment vertical="center"/>
    </xf>
    <xf numFmtId="165" fontId="12" fillId="2" borderId="0" xfId="2" applyNumberFormat="1" applyFont="1" applyFill="1" applyAlignment="1">
      <alignment horizontal="center" vertical="center"/>
    </xf>
    <xf numFmtId="164" fontId="12" fillId="2" borderId="0" xfId="2" applyNumberFormat="1" applyFont="1" applyFill="1" applyAlignment="1">
      <alignment vertical="center"/>
    </xf>
    <xf numFmtId="0" fontId="0" fillId="8" borderId="0" xfId="0" applyFill="1"/>
    <xf numFmtId="0" fontId="18" fillId="8" borderId="0" xfId="2" applyFont="1" applyFill="1" applyAlignment="1">
      <alignment horizontal="right" vertical="center"/>
    </xf>
    <xf numFmtId="0" fontId="18" fillId="8" borderId="0" xfId="2" applyFont="1" applyFill="1" applyAlignment="1">
      <alignment horizontal="center" vertical="center"/>
    </xf>
    <xf numFmtId="0" fontId="25" fillId="0" borderId="0" xfId="2" applyFont="1" applyAlignment="1">
      <alignment horizontal="left" vertical="center"/>
    </xf>
    <xf numFmtId="0" fontId="12" fillId="0" borderId="0" xfId="2" applyFont="1"/>
    <xf numFmtId="0" fontId="12" fillId="2" borderId="0" xfId="2" applyFont="1" applyFill="1" applyAlignment="1">
      <alignment horizontal="center" vertical="center"/>
    </xf>
    <xf numFmtId="0" fontId="31" fillId="0" borderId="0" xfId="2" applyFont="1" applyAlignment="1">
      <alignment horizontal="right" vertical="center"/>
    </xf>
    <xf numFmtId="165" fontId="21" fillId="8" borderId="0" xfId="2" applyNumberFormat="1" applyFont="1" applyFill="1" applyAlignment="1">
      <alignment vertical="center"/>
    </xf>
    <xf numFmtId="0" fontId="12" fillId="0" borderId="0" xfId="2" applyFont="1" applyAlignment="1">
      <alignment horizontal="center" vertical="center"/>
    </xf>
    <xf numFmtId="0" fontId="12" fillId="8" borderId="0" xfId="2" applyFont="1" applyFill="1" applyAlignment="1">
      <alignment vertical="center"/>
    </xf>
    <xf numFmtId="0" fontId="12" fillId="5" borderId="0" xfId="2" applyFont="1" applyFill="1" applyAlignment="1">
      <alignment horizontal="right"/>
    </xf>
    <xf numFmtId="0" fontId="12" fillId="2" borderId="0" xfId="2" applyFont="1" applyFill="1" applyAlignment="1">
      <alignment horizontal="right" vertical="center"/>
    </xf>
    <xf numFmtId="0" fontId="12" fillId="0" borderId="5" xfId="2" applyFont="1" applyBorder="1" applyAlignment="1">
      <alignment horizontal="right" vertical="center"/>
    </xf>
    <xf numFmtId="0" fontId="12" fillId="0" borderId="0" xfId="2" applyFont="1" applyAlignment="1">
      <alignment horizontal="right" vertical="center"/>
    </xf>
    <xf numFmtId="0" fontId="12" fillId="0" borderId="7" xfId="2" applyFont="1" applyBorder="1" applyAlignment="1">
      <alignment horizontal="right" vertical="center"/>
    </xf>
    <xf numFmtId="0" fontId="12" fillId="4" borderId="0" xfId="2" applyFont="1" applyFill="1" applyAlignment="1">
      <alignment horizontal="left"/>
    </xf>
    <xf numFmtId="0" fontId="17" fillId="0" borderId="3" xfId="2" applyFont="1" applyBorder="1" applyAlignment="1">
      <alignment horizontal="left" vertical="center"/>
    </xf>
    <xf numFmtId="0" fontId="31" fillId="0" borderId="0" xfId="2" applyFont="1" applyAlignment="1">
      <alignment horizontal="left" vertical="center"/>
    </xf>
    <xf numFmtId="0" fontId="17" fillId="0" borderId="11" xfId="2" applyFont="1" applyBorder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8" fillId="0" borderId="19" xfId="2" applyFont="1" applyBorder="1" applyAlignment="1">
      <alignment horizontal="right" vertical="center"/>
    </xf>
    <xf numFmtId="0" fontId="8" fillId="2" borderId="0" xfId="1" applyFill="1"/>
    <xf numFmtId="0" fontId="8" fillId="2" borderId="0" xfId="1" applyFill="1" applyAlignment="1">
      <alignment horizontal="left" vertical="center"/>
    </xf>
    <xf numFmtId="0" fontId="8" fillId="2" borderId="0" xfId="1" applyFill="1" applyAlignment="1">
      <alignment horizontal="center" vertical="center"/>
    </xf>
    <xf numFmtId="0" fontId="8" fillId="0" borderId="0" xfId="1"/>
    <xf numFmtId="0" fontId="8" fillId="5" borderId="0" xfId="1" applyFill="1"/>
    <xf numFmtId="0" fontId="8" fillId="8" borderId="0" xfId="1" applyFill="1"/>
    <xf numFmtId="0" fontId="8" fillId="8" borderId="0" xfId="1" applyFill="1" applyAlignment="1">
      <alignment horizontal="left" vertical="center"/>
    </xf>
    <xf numFmtId="0" fontId="8" fillId="8" borderId="0" xfId="1" applyFill="1" applyAlignment="1">
      <alignment horizontal="center" vertical="center"/>
    </xf>
    <xf numFmtId="2" fontId="26" fillId="17" borderId="9" xfId="2" applyNumberFormat="1" applyFont="1" applyFill="1" applyBorder="1" applyAlignment="1">
      <alignment vertical="center"/>
    </xf>
    <xf numFmtId="1" fontId="26" fillId="17" borderId="9" xfId="2" applyNumberFormat="1" applyFont="1" applyFill="1" applyBorder="1" applyAlignment="1">
      <alignment vertical="center"/>
    </xf>
    <xf numFmtId="0" fontId="17" fillId="17" borderId="20" xfId="2" applyFont="1" applyFill="1" applyBorder="1" applyAlignment="1">
      <alignment horizontal="center" vertical="center"/>
    </xf>
    <xf numFmtId="2" fontId="26" fillId="18" borderId="9" xfId="2" applyNumberFormat="1" applyFont="1" applyFill="1" applyBorder="1" applyAlignment="1">
      <alignment vertical="center"/>
    </xf>
    <xf numFmtId="1" fontId="26" fillId="18" borderId="9" xfId="2" applyNumberFormat="1" applyFont="1" applyFill="1" applyBorder="1" applyAlignment="1">
      <alignment vertical="center"/>
    </xf>
    <xf numFmtId="0" fontId="17" fillId="18" borderId="20" xfId="2" applyFont="1" applyFill="1" applyBorder="1" applyAlignment="1">
      <alignment horizontal="center" vertical="center"/>
    </xf>
    <xf numFmtId="2" fontId="26" fillId="12" borderId="9" xfId="2" applyNumberFormat="1" applyFont="1" applyFill="1" applyBorder="1" applyAlignment="1">
      <alignment vertical="center"/>
    </xf>
    <xf numFmtId="1" fontId="26" fillId="12" borderId="9" xfId="2" applyNumberFormat="1" applyFont="1" applyFill="1" applyBorder="1" applyAlignment="1">
      <alignment vertical="center"/>
    </xf>
    <xf numFmtId="0" fontId="17" fillId="12" borderId="20" xfId="2" applyFont="1" applyFill="1" applyBorder="1" applyAlignment="1">
      <alignment horizontal="center" vertical="center"/>
    </xf>
    <xf numFmtId="0" fontId="36" fillId="8" borderId="0" xfId="1" applyFont="1" applyFill="1" applyAlignment="1">
      <alignment horizontal="left" vertical="center"/>
    </xf>
    <xf numFmtId="2" fontId="19" fillId="8" borderId="0" xfId="2" applyNumberFormat="1" applyFont="1" applyFill="1" applyAlignment="1">
      <alignment horizontal="center" vertical="center"/>
    </xf>
    <xf numFmtId="164" fontId="20" fillId="8" borderId="21" xfId="2" applyNumberFormat="1" applyFont="1" applyFill="1" applyBorder="1" applyAlignment="1">
      <alignment horizontal="right" vertical="center"/>
    </xf>
    <xf numFmtId="2" fontId="20" fillId="8" borderId="17" xfId="2" applyNumberFormat="1" applyFont="1" applyFill="1" applyBorder="1" applyAlignment="1">
      <alignment horizontal="left" vertical="center"/>
    </xf>
    <xf numFmtId="1" fontId="26" fillId="8" borderId="17" xfId="2" applyNumberFormat="1" applyFont="1" applyFill="1" applyBorder="1" applyAlignment="1">
      <alignment horizontal="center" vertical="center"/>
    </xf>
    <xf numFmtId="0" fontId="17" fillId="8" borderId="22" xfId="2" applyFont="1" applyFill="1" applyBorder="1" applyAlignment="1">
      <alignment horizontal="center" vertical="center"/>
    </xf>
    <xf numFmtId="0" fontId="17" fillId="8" borderId="0" xfId="2" applyFont="1" applyFill="1" applyAlignment="1">
      <alignment horizontal="center" vertical="center"/>
    </xf>
    <xf numFmtId="2" fontId="34" fillId="8" borderId="0" xfId="2" applyNumberFormat="1" applyFont="1" applyFill="1" applyAlignment="1">
      <alignment horizontal="center" vertical="center"/>
    </xf>
    <xf numFmtId="0" fontId="8" fillId="2" borderId="0" xfId="1" applyFill="1" applyAlignment="1">
      <alignment vertical="center"/>
    </xf>
    <xf numFmtId="0" fontId="8" fillId="5" borderId="0" xfId="1" applyFill="1" applyAlignment="1">
      <alignment vertical="center"/>
    </xf>
    <xf numFmtId="0" fontId="8" fillId="0" borderId="0" xfId="1" applyAlignment="1">
      <alignment vertical="center"/>
    </xf>
    <xf numFmtId="0" fontId="8" fillId="5" borderId="0" xfId="1" applyFill="1" applyAlignment="1">
      <alignment horizontal="left" vertical="center"/>
    </xf>
    <xf numFmtId="0" fontId="8" fillId="0" borderId="0" xfId="1" applyAlignment="1">
      <alignment horizontal="left" vertical="center"/>
    </xf>
    <xf numFmtId="41" fontId="12" fillId="2" borderId="0" xfId="2" applyNumberFormat="1" applyFont="1" applyFill="1" applyAlignment="1">
      <alignment vertical="center"/>
    </xf>
    <xf numFmtId="0" fontId="8" fillId="0" borderId="8" xfId="1" applyBorder="1"/>
    <xf numFmtId="0" fontId="11" fillId="0" borderId="0" xfId="1" applyFont="1"/>
    <xf numFmtId="0" fontId="10" fillId="0" borderId="0" xfId="1" applyFont="1"/>
    <xf numFmtId="164" fontId="39" fillId="0" borderId="0" xfId="2" applyNumberFormat="1" applyFont="1" applyAlignment="1">
      <alignment horizontal="right" vertical="center"/>
    </xf>
    <xf numFmtId="0" fontId="40" fillId="2" borderId="0" xfId="1" applyFont="1" applyFill="1"/>
    <xf numFmtId="0" fontId="40" fillId="5" borderId="0" xfId="1" applyFont="1" applyFill="1"/>
    <xf numFmtId="0" fontId="41" fillId="8" borderId="0" xfId="2" applyFont="1" applyFill="1" applyAlignment="1">
      <alignment vertical="center"/>
    </xf>
    <xf numFmtId="0" fontId="40" fillId="0" borderId="0" xfId="1" applyFont="1"/>
    <xf numFmtId="0" fontId="42" fillId="2" borderId="0" xfId="1" applyFont="1" applyFill="1"/>
    <xf numFmtId="0" fontId="42" fillId="5" borderId="0" xfId="1" applyFont="1" applyFill="1"/>
    <xf numFmtId="0" fontId="43" fillId="8" borderId="0" xfId="2" applyFont="1" applyFill="1" applyAlignment="1">
      <alignment vertical="center"/>
    </xf>
    <xf numFmtId="0" fontId="42" fillId="0" borderId="0" xfId="1" applyFont="1"/>
    <xf numFmtId="0" fontId="6" fillId="2" borderId="0" xfId="1" applyFont="1" applyFill="1" applyAlignment="1">
      <alignment horizontal="right"/>
    </xf>
    <xf numFmtId="0" fontId="8" fillId="4" borderId="0" xfId="1" applyFill="1"/>
    <xf numFmtId="0" fontId="8" fillId="4" borderId="0" xfId="1" applyFill="1" applyAlignment="1">
      <alignment horizontal="left" vertical="center"/>
    </xf>
    <xf numFmtId="0" fontId="8" fillId="4" borderId="0" xfId="1" applyFill="1" applyAlignment="1">
      <alignment horizontal="center" vertical="center"/>
    </xf>
    <xf numFmtId="0" fontId="8" fillId="7" borderId="0" xfId="1" applyFill="1"/>
    <xf numFmtId="0" fontId="8" fillId="0" borderId="0" xfId="1" applyAlignment="1">
      <alignment horizontal="center" vertical="center"/>
    </xf>
    <xf numFmtId="0" fontId="18" fillId="0" borderId="0" xfId="2" applyFont="1" applyAlignment="1">
      <alignment vertical="center"/>
    </xf>
    <xf numFmtId="0" fontId="7" fillId="0" borderId="0" xfId="0" applyFont="1"/>
    <xf numFmtId="0" fontId="47" fillId="0" borderId="0" xfId="0" applyFont="1"/>
    <xf numFmtId="0" fontId="48" fillId="0" borderId="0" xfId="0" applyFont="1" applyAlignment="1">
      <alignment horizontal="right"/>
    </xf>
    <xf numFmtId="0" fontId="47" fillId="0" borderId="0" xfId="0" applyFont="1" applyAlignment="1">
      <alignment horizontal="center"/>
    </xf>
    <xf numFmtId="0" fontId="47" fillId="7" borderId="0" xfId="2" applyFont="1" applyFill="1"/>
    <xf numFmtId="0" fontId="47" fillId="4" borderId="0" xfId="2" applyFont="1" applyFill="1"/>
    <xf numFmtId="0" fontId="48" fillId="4" borderId="0" xfId="2" applyFont="1" applyFill="1" applyAlignment="1">
      <alignment horizontal="right"/>
    </xf>
    <xf numFmtId="0" fontId="47" fillId="4" borderId="0" xfId="0" applyFont="1" applyFill="1"/>
    <xf numFmtId="0" fontId="47" fillId="4" borderId="0" xfId="0" applyFont="1" applyFill="1" applyAlignment="1">
      <alignment horizontal="center"/>
    </xf>
    <xf numFmtId="0" fontId="47" fillId="5" borderId="0" xfId="2" applyFont="1" applyFill="1"/>
    <xf numFmtId="0" fontId="47" fillId="2" borderId="0" xfId="0" applyFont="1" applyFill="1"/>
    <xf numFmtId="0" fontId="48" fillId="2" borderId="0" xfId="0" applyFont="1" applyFill="1" applyAlignment="1">
      <alignment horizontal="right"/>
    </xf>
    <xf numFmtId="0" fontId="47" fillId="2" borderId="0" xfId="0" applyFont="1" applyFill="1" applyAlignment="1">
      <alignment horizontal="center"/>
    </xf>
    <xf numFmtId="0" fontId="47" fillId="0" borderId="0" xfId="2" applyFont="1"/>
    <xf numFmtId="0" fontId="47" fillId="2" borderId="0" xfId="2" applyFont="1" applyFill="1" applyAlignment="1">
      <alignment vertical="center"/>
    </xf>
    <xf numFmtId="0" fontId="47" fillId="0" borderId="2" xfId="2" applyFont="1" applyBorder="1" applyAlignment="1">
      <alignment vertical="center"/>
    </xf>
    <xf numFmtId="0" fontId="49" fillId="0" borderId="3" xfId="2" applyFont="1" applyBorder="1" applyAlignment="1">
      <alignment horizontal="right" vertical="center"/>
    </xf>
    <xf numFmtId="0" fontId="50" fillId="0" borderId="3" xfId="2" applyFont="1" applyBorder="1" applyAlignment="1">
      <alignment horizontal="center" vertical="center"/>
    </xf>
    <xf numFmtId="0" fontId="47" fillId="0" borderId="3" xfId="2" applyFont="1" applyBorder="1" applyAlignment="1">
      <alignment vertical="center"/>
    </xf>
    <xf numFmtId="0" fontId="47" fillId="0" borderId="4" xfId="2" applyFont="1" applyBorder="1" applyAlignment="1">
      <alignment vertical="center"/>
    </xf>
    <xf numFmtId="0" fontId="47" fillId="2" borderId="0" xfId="2" applyFont="1" applyFill="1" applyAlignment="1">
      <alignment horizontal="center" vertical="center"/>
    </xf>
    <xf numFmtId="0" fontId="47" fillId="0" borderId="5" xfId="2" applyFont="1" applyBorder="1" applyAlignment="1">
      <alignment vertical="center"/>
    </xf>
    <xf numFmtId="0" fontId="50" fillId="0" borderId="0" xfId="2" applyFont="1" applyAlignment="1">
      <alignment horizontal="center" vertical="center"/>
    </xf>
    <xf numFmtId="0" fontId="47" fillId="0" borderId="0" xfId="2" applyFont="1" applyAlignment="1">
      <alignment vertical="center"/>
    </xf>
    <xf numFmtId="0" fontId="47" fillId="0" borderId="7" xfId="2" applyFont="1" applyBorder="1" applyAlignment="1">
      <alignment vertical="center"/>
    </xf>
    <xf numFmtId="0" fontId="51" fillId="0" borderId="0" xfId="2" applyFont="1" applyAlignment="1">
      <alignment vertical="center"/>
    </xf>
    <xf numFmtId="0" fontId="49" fillId="0" borderId="0" xfId="2" applyFont="1" applyAlignment="1">
      <alignment horizontal="right" vertical="center"/>
    </xf>
    <xf numFmtId="0" fontId="49" fillId="0" borderId="0" xfId="2" applyFont="1" applyAlignment="1">
      <alignment vertical="center"/>
    </xf>
    <xf numFmtId="0" fontId="48" fillId="0" borderId="0" xfId="2" applyFont="1" applyAlignment="1">
      <alignment horizontal="left" vertical="center"/>
    </xf>
    <xf numFmtId="0" fontId="49" fillId="0" borderId="14" xfId="2" applyFont="1" applyBorder="1" applyAlignment="1">
      <alignment horizontal="right" vertical="center"/>
    </xf>
    <xf numFmtId="0" fontId="50" fillId="0" borderId="14" xfId="2" applyFont="1" applyBorder="1" applyAlignment="1">
      <alignment vertical="center"/>
    </xf>
    <xf numFmtId="0" fontId="52" fillId="0" borderId="14" xfId="2" applyFont="1" applyBorder="1" applyAlignment="1">
      <alignment horizontal="center" vertical="center"/>
    </xf>
    <xf numFmtId="2" fontId="55" fillId="0" borderId="9" xfId="2" applyNumberFormat="1" applyFont="1" applyBorder="1" applyAlignment="1">
      <alignment vertical="center"/>
    </xf>
    <xf numFmtId="167" fontId="50" fillId="0" borderId="0" xfId="2" applyNumberFormat="1" applyFont="1" applyAlignment="1">
      <alignment vertical="center"/>
    </xf>
    <xf numFmtId="2" fontId="54" fillId="0" borderId="9" xfId="2" applyNumberFormat="1" applyFont="1" applyBorder="1" applyAlignment="1">
      <alignment vertical="center"/>
    </xf>
    <xf numFmtId="2" fontId="56" fillId="0" borderId="9" xfId="2" applyNumberFormat="1" applyFont="1" applyBorder="1" applyAlignment="1">
      <alignment vertical="center"/>
    </xf>
    <xf numFmtId="0" fontId="50" fillId="0" borderId="0" xfId="2" applyFont="1" applyAlignment="1">
      <alignment vertical="center"/>
    </xf>
    <xf numFmtId="0" fontId="50" fillId="0" borderId="0" xfId="2" applyFont="1" applyAlignment="1">
      <alignment horizontal="left" vertical="center"/>
    </xf>
    <xf numFmtId="2" fontId="55" fillId="0" borderId="0" xfId="2" applyNumberFormat="1" applyFont="1" applyAlignment="1">
      <alignment vertical="center"/>
    </xf>
    <xf numFmtId="0" fontId="57" fillId="15" borderId="18" xfId="2" applyFont="1" applyFill="1" applyBorder="1" applyAlignment="1">
      <alignment horizontal="center" vertical="center"/>
    </xf>
    <xf numFmtId="2" fontId="54" fillId="15" borderId="18" xfId="2" applyNumberFormat="1" applyFont="1" applyFill="1" applyBorder="1" applyAlignment="1">
      <alignment vertical="center"/>
    </xf>
    <xf numFmtId="0" fontId="57" fillId="16" borderId="18" xfId="2" applyFont="1" applyFill="1" applyBorder="1" applyAlignment="1">
      <alignment horizontal="center" vertical="center"/>
    </xf>
    <xf numFmtId="2" fontId="54" fillId="16" borderId="18" xfId="2" applyNumberFormat="1" applyFont="1" applyFill="1" applyBorder="1" applyAlignment="1">
      <alignment vertical="center"/>
    </xf>
    <xf numFmtId="0" fontId="57" fillId="9" borderId="18" xfId="2" applyFont="1" applyFill="1" applyBorder="1" applyAlignment="1">
      <alignment horizontal="center" vertical="center"/>
    </xf>
    <xf numFmtId="0" fontId="50" fillId="16" borderId="18" xfId="2" applyFont="1" applyFill="1" applyBorder="1" applyAlignment="1">
      <alignment horizontal="center" vertical="center"/>
    </xf>
    <xf numFmtId="0" fontId="50" fillId="15" borderId="18" xfId="2" applyFont="1" applyFill="1" applyBorder="1" applyAlignment="1">
      <alignment horizontal="center" vertical="center"/>
    </xf>
    <xf numFmtId="0" fontId="58" fillId="10" borderId="18" xfId="0" applyFont="1" applyFill="1" applyBorder="1" applyAlignment="1">
      <alignment horizontal="center" vertical="center"/>
    </xf>
    <xf numFmtId="0" fontId="59" fillId="2" borderId="18" xfId="0" applyFont="1" applyFill="1" applyBorder="1" applyAlignment="1">
      <alignment horizontal="center" vertical="center" wrapText="1"/>
    </xf>
    <xf numFmtId="0" fontId="60" fillId="2" borderId="18" xfId="0" applyFont="1" applyFill="1" applyBorder="1" applyAlignment="1">
      <alignment horizontal="right" vertical="center" wrapText="1"/>
    </xf>
    <xf numFmtId="0" fontId="61" fillId="16" borderId="18" xfId="2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 wrapText="1"/>
    </xf>
    <xf numFmtId="0" fontId="61" fillId="15" borderId="18" xfId="2" applyFont="1" applyFill="1" applyBorder="1" applyAlignment="1">
      <alignment horizontal="center" vertical="center"/>
    </xf>
    <xf numFmtId="0" fontId="50" fillId="9" borderId="18" xfId="2" applyFont="1" applyFill="1" applyBorder="1" applyAlignment="1">
      <alignment horizontal="center" vertical="center"/>
    </xf>
    <xf numFmtId="165" fontId="62" fillId="8" borderId="0" xfId="2" applyNumberFormat="1" applyFont="1" applyFill="1" applyAlignment="1">
      <alignment vertical="center"/>
    </xf>
    <xf numFmtId="0" fontId="63" fillId="8" borderId="0" xfId="2" applyFont="1" applyFill="1" applyAlignment="1">
      <alignment vertical="center"/>
    </xf>
    <xf numFmtId="165" fontId="64" fillId="8" borderId="0" xfId="2" applyNumberFormat="1" applyFont="1" applyFill="1" applyAlignment="1">
      <alignment horizontal="left" vertical="center"/>
    </xf>
    <xf numFmtId="165" fontId="64" fillId="8" borderId="0" xfId="2" applyNumberFormat="1" applyFont="1" applyFill="1" applyAlignment="1">
      <alignment vertical="center"/>
    </xf>
    <xf numFmtId="0" fontId="47" fillId="0" borderId="10" xfId="2" applyFont="1" applyBorder="1" applyAlignment="1">
      <alignment vertical="center"/>
    </xf>
    <xf numFmtId="164" fontId="49" fillId="0" borderId="11" xfId="2" applyNumberFormat="1" applyFont="1" applyBorder="1" applyAlignment="1">
      <alignment horizontal="right" vertical="center"/>
    </xf>
    <xf numFmtId="0" fontId="50" fillId="0" borderId="11" xfId="2" applyFont="1" applyBorder="1" applyAlignment="1">
      <alignment vertical="center"/>
    </xf>
    <xf numFmtId="165" fontId="47" fillId="0" borderId="11" xfId="2" applyNumberFormat="1" applyFont="1" applyBorder="1" applyAlignment="1">
      <alignment vertical="center"/>
    </xf>
    <xf numFmtId="0" fontId="47" fillId="0" borderId="12" xfId="2" applyFont="1" applyBorder="1" applyAlignment="1">
      <alignment vertical="center"/>
    </xf>
    <xf numFmtId="0" fontId="47" fillId="6" borderId="0" xfId="2" applyFont="1" applyFill="1" applyAlignment="1">
      <alignment vertical="center"/>
    </xf>
    <xf numFmtId="164" fontId="48" fillId="6" borderId="0" xfId="2" applyNumberFormat="1" applyFont="1" applyFill="1" applyAlignment="1">
      <alignment horizontal="right" vertical="center"/>
    </xf>
    <xf numFmtId="165" fontId="47" fillId="6" borderId="0" xfId="2" applyNumberFormat="1" applyFont="1" applyFill="1" applyAlignment="1">
      <alignment vertical="center"/>
    </xf>
    <xf numFmtId="41" fontId="47" fillId="6" borderId="0" xfId="2" applyNumberFormat="1" applyFont="1" applyFill="1" applyAlignment="1">
      <alignment vertical="center"/>
    </xf>
    <xf numFmtId="0" fontId="47" fillId="5" borderId="0" xfId="0" applyFont="1" applyFill="1"/>
    <xf numFmtId="164" fontId="65" fillId="0" borderId="0" xfId="2" applyNumberFormat="1" applyFont="1" applyAlignment="1">
      <alignment horizontal="center" vertical="center"/>
    </xf>
    <xf numFmtId="0" fontId="66" fillId="0" borderId="0" xfId="2" applyFont="1" applyAlignment="1">
      <alignment horizontal="right" vertical="center"/>
    </xf>
    <xf numFmtId="0" fontId="67" fillId="0" borderId="0" xfId="2" applyFont="1" applyAlignment="1">
      <alignment vertical="center"/>
    </xf>
    <xf numFmtId="0" fontId="68" fillId="0" borderId="0" xfId="0" applyFont="1" applyAlignment="1">
      <alignment horizontal="center" vertical="center" wrapText="1"/>
    </xf>
    <xf numFmtId="165" fontId="69" fillId="8" borderId="0" xfId="2" applyNumberFormat="1" applyFont="1" applyFill="1" applyAlignment="1">
      <alignment vertical="center"/>
    </xf>
    <xf numFmtId="164" fontId="66" fillId="0" borderId="11" xfId="2" applyNumberFormat="1" applyFont="1" applyBorder="1" applyAlignment="1">
      <alignment horizontal="right" vertical="center"/>
    </xf>
    <xf numFmtId="164" fontId="66" fillId="6" borderId="0" xfId="2" applyNumberFormat="1" applyFont="1" applyFill="1" applyAlignment="1">
      <alignment horizontal="right" vertical="center"/>
    </xf>
    <xf numFmtId="0" fontId="66" fillId="2" borderId="0" xfId="0" applyFont="1" applyFill="1" applyAlignment="1">
      <alignment horizontal="right"/>
    </xf>
    <xf numFmtId="0" fontId="67" fillId="0" borderId="0" xfId="2" applyFont="1" applyAlignment="1">
      <alignment horizontal="right" vertical="center"/>
    </xf>
    <xf numFmtId="2" fontId="67" fillId="0" borderId="0" xfId="2" applyNumberFormat="1" applyFont="1" applyAlignment="1">
      <alignment vertical="center"/>
    </xf>
    <xf numFmtId="2" fontId="70" fillId="0" borderId="0" xfId="2" applyNumberFormat="1" applyFont="1" applyAlignment="1">
      <alignment vertical="center"/>
    </xf>
    <xf numFmtId="2" fontId="67" fillId="0" borderId="9" xfId="2" applyNumberFormat="1" applyFont="1" applyBorder="1" applyAlignment="1">
      <alignment vertical="center"/>
    </xf>
    <xf numFmtId="2" fontId="66" fillId="0" borderId="9" xfId="2" applyNumberFormat="1" applyFont="1" applyBorder="1" applyAlignment="1">
      <alignment vertical="center"/>
    </xf>
    <xf numFmtId="2" fontId="70" fillId="0" borderId="9" xfId="2" applyNumberFormat="1" applyFont="1" applyBorder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75" fillId="20" borderId="0" xfId="2" applyFont="1" applyFill="1" applyAlignment="1">
      <alignment vertical="center"/>
    </xf>
    <xf numFmtId="0" fontId="76" fillId="20" borderId="0" xfId="2" applyFont="1" applyFill="1" applyAlignment="1">
      <alignment vertical="center"/>
    </xf>
    <xf numFmtId="0" fontId="76" fillId="21" borderId="0" xfId="2" applyFont="1" applyFill="1" applyAlignment="1">
      <alignment vertical="center"/>
    </xf>
    <xf numFmtId="0" fontId="76" fillId="20" borderId="0" xfId="2" applyFont="1" applyFill="1" applyAlignment="1">
      <alignment horizontal="left" vertical="center"/>
    </xf>
    <xf numFmtId="0" fontId="12" fillId="20" borderId="0" xfId="2" applyFont="1" applyFill="1" applyAlignment="1">
      <alignment vertical="center"/>
    </xf>
    <xf numFmtId="0" fontId="18" fillId="0" borderId="35" xfId="2" applyFont="1" applyBorder="1" applyAlignment="1">
      <alignment horizontal="right" vertical="center"/>
    </xf>
    <xf numFmtId="0" fontId="17" fillId="0" borderId="35" xfId="2" applyFont="1" applyBorder="1" applyAlignment="1">
      <alignment horizontal="center" vertical="center"/>
    </xf>
    <xf numFmtId="0" fontId="17" fillId="0" borderId="35" xfId="2" applyFont="1" applyBorder="1" applyAlignment="1">
      <alignment horizontal="left" vertical="center"/>
    </xf>
    <xf numFmtId="0" fontId="12" fillId="0" borderId="35" xfId="2" applyFont="1" applyBorder="1" applyAlignment="1">
      <alignment vertical="center"/>
    </xf>
    <xf numFmtId="0" fontId="18" fillId="0" borderId="36" xfId="2" applyFont="1" applyBorder="1" applyAlignment="1">
      <alignment horizontal="right" vertical="center"/>
    </xf>
    <xf numFmtId="164" fontId="77" fillId="22" borderId="37" xfId="2" applyNumberFormat="1" applyFont="1" applyFill="1" applyBorder="1" applyAlignment="1">
      <alignment horizontal="right" vertical="center"/>
    </xf>
    <xf numFmtId="164" fontId="20" fillId="23" borderId="0" xfId="2" applyNumberFormat="1" applyFont="1" applyFill="1" applyAlignment="1">
      <alignment horizontal="right" vertical="center"/>
    </xf>
    <xf numFmtId="0" fontId="81" fillId="2" borderId="9" xfId="2" applyFont="1" applyFill="1" applyBorder="1" applyAlignment="1">
      <alignment vertical="center"/>
    </xf>
    <xf numFmtId="0" fontId="83" fillId="0" borderId="0" xfId="2" applyFont="1" applyAlignment="1">
      <alignment horizontal="left"/>
    </xf>
    <xf numFmtId="0" fontId="83" fillId="0" borderId="0" xfId="2" applyFont="1" applyAlignment="1">
      <alignment horizontal="center" vertical="center"/>
    </xf>
    <xf numFmtId="0" fontId="86" fillId="24" borderId="17" xfId="2" applyFont="1" applyFill="1" applyBorder="1" applyAlignment="1">
      <alignment horizontal="center" vertical="center"/>
    </xf>
    <xf numFmtId="0" fontId="87" fillId="0" borderId="0" xfId="2" applyFont="1" applyAlignment="1">
      <alignment horizontal="center" vertical="center"/>
    </xf>
    <xf numFmtId="0" fontId="88" fillId="0" borderId="0" xfId="2" applyFont="1" applyAlignment="1">
      <alignment vertical="center"/>
    </xf>
    <xf numFmtId="0" fontId="84" fillId="0" borderId="0" xfId="2" applyFont="1" applyAlignment="1">
      <alignment horizontal="right" vertical="center"/>
    </xf>
    <xf numFmtId="0" fontId="90" fillId="0" borderId="0" xfId="2" applyFont="1" applyAlignment="1">
      <alignment horizontal="right" vertical="center"/>
    </xf>
    <xf numFmtId="0" fontId="83" fillId="0" borderId="0" xfId="2" applyFont="1" applyAlignment="1">
      <alignment horizontal="right"/>
    </xf>
    <xf numFmtId="0" fontId="84" fillId="0" borderId="0" xfId="2" applyFont="1" applyAlignment="1">
      <alignment horizontal="center" vertical="center"/>
    </xf>
    <xf numFmtId="0" fontId="44" fillId="2" borderId="39" xfId="2" applyFont="1" applyFill="1" applyBorder="1" applyAlignment="1">
      <alignment horizontal="center" vertical="center"/>
    </xf>
    <xf numFmtId="0" fontId="33" fillId="2" borderId="0" xfId="2" applyFont="1" applyFill="1" applyAlignment="1">
      <alignment horizontal="right" vertical="center"/>
    </xf>
    <xf numFmtId="0" fontId="18" fillId="0" borderId="35" xfId="2" applyFont="1" applyBorder="1" applyAlignment="1">
      <alignment vertical="center"/>
    </xf>
    <xf numFmtId="0" fontId="18" fillId="0" borderId="35" xfId="2" applyFont="1" applyBorder="1" applyAlignment="1">
      <alignment horizontal="left" vertical="center"/>
    </xf>
    <xf numFmtId="0" fontId="92" fillId="0" borderId="0" xfId="2" applyFont="1" applyAlignment="1">
      <alignment horizontal="center" vertical="center"/>
    </xf>
    <xf numFmtId="164" fontId="74" fillId="25" borderId="37" xfId="2" applyNumberFormat="1" applyFont="1" applyFill="1" applyBorder="1" applyAlignment="1">
      <alignment horizontal="right" vertical="center"/>
    </xf>
    <xf numFmtId="164" fontId="20" fillId="0" borderId="0" xfId="2" applyNumberFormat="1" applyFont="1" applyAlignment="1">
      <alignment horizontal="right" vertical="center"/>
    </xf>
    <xf numFmtId="0" fontId="83" fillId="0" borderId="19" xfId="2" applyFont="1" applyBorder="1" applyAlignment="1">
      <alignment horizontal="left"/>
    </xf>
    <xf numFmtId="164" fontId="74" fillId="25" borderId="0" xfId="2" applyNumberFormat="1" applyFont="1" applyFill="1" applyAlignment="1">
      <alignment horizontal="right" vertical="center"/>
    </xf>
    <xf numFmtId="164" fontId="20" fillId="0" borderId="39" xfId="2" applyNumberFormat="1" applyFont="1" applyBorder="1" applyAlignment="1">
      <alignment horizontal="right" vertical="center"/>
    </xf>
    <xf numFmtId="0" fontId="93" fillId="0" borderId="0" xfId="2" applyFont="1"/>
    <xf numFmtId="0" fontId="93" fillId="0" borderId="0" xfId="2" applyFont="1" applyAlignment="1">
      <alignment horizontal="left"/>
    </xf>
    <xf numFmtId="0" fontId="24" fillId="25" borderId="5" xfId="2" applyFont="1" applyFill="1" applyBorder="1" applyAlignment="1">
      <alignment horizontal="center" vertical="center"/>
    </xf>
    <xf numFmtId="165" fontId="21" fillId="8" borderId="40" xfId="2" applyNumberFormat="1" applyFont="1" applyFill="1" applyBorder="1" applyAlignment="1">
      <alignment vertical="center"/>
    </xf>
    <xf numFmtId="0" fontId="12" fillId="0" borderId="43" xfId="2" applyFont="1" applyBorder="1" applyAlignment="1">
      <alignment vertical="center"/>
    </xf>
    <xf numFmtId="0" fontId="12" fillId="5" borderId="43" xfId="2" applyFont="1" applyFill="1" applyBorder="1"/>
    <xf numFmtId="0" fontId="12" fillId="5" borderId="43" xfId="2" applyFont="1" applyFill="1" applyBorder="1" applyAlignment="1">
      <alignment horizontal="right"/>
    </xf>
    <xf numFmtId="0" fontId="24" fillId="26" borderId="0" xfId="2" applyFont="1" applyFill="1" applyAlignment="1">
      <alignment vertical="center"/>
    </xf>
    <xf numFmtId="0" fontId="12" fillId="26" borderId="0" xfId="2" applyFont="1" applyFill="1" applyAlignment="1">
      <alignment vertical="center"/>
    </xf>
    <xf numFmtId="0" fontId="99" fillId="27" borderId="0" xfId="2" applyFont="1" applyFill="1" applyAlignment="1">
      <alignment vertical="center"/>
    </xf>
    <xf numFmtId="0" fontId="100" fillId="27" borderId="0" xfId="2" applyFont="1" applyFill="1" applyAlignment="1">
      <alignment horizontal="center" vertical="center" wrapText="1"/>
    </xf>
    <xf numFmtId="0" fontId="18" fillId="8" borderId="1" xfId="2" applyFont="1" applyFill="1" applyBorder="1" applyAlignment="1">
      <alignment horizontal="center" vertical="center"/>
    </xf>
    <xf numFmtId="0" fontId="13" fillId="8" borderId="1" xfId="2" applyFont="1" applyFill="1" applyBorder="1" applyAlignment="1">
      <alignment horizontal="center" vertical="center"/>
    </xf>
    <xf numFmtId="10" fontId="13" fillId="8" borderId="1" xfId="14" applyNumberFormat="1" applyFont="1" applyFill="1" applyBorder="1" applyAlignment="1" applyProtection="1">
      <alignment horizontal="center" vertical="center"/>
    </xf>
    <xf numFmtId="9" fontId="12" fillId="2" borderId="1" xfId="2" applyNumberFormat="1" applyFont="1" applyFill="1" applyBorder="1" applyAlignment="1">
      <alignment horizontal="center" vertical="center"/>
    </xf>
    <xf numFmtId="0" fontId="24" fillId="8" borderId="0" xfId="2" applyFont="1" applyFill="1" applyAlignment="1">
      <alignment vertical="center"/>
    </xf>
    <xf numFmtId="0" fontId="100" fillId="8" borderId="0" xfId="2" applyFont="1" applyFill="1" applyAlignment="1">
      <alignment horizontal="center" vertical="center" wrapText="1"/>
    </xf>
    <xf numFmtId="0" fontId="12" fillId="8" borderId="0" xfId="2" applyFont="1" applyFill="1" applyAlignment="1">
      <alignment horizontal="center" vertical="center"/>
    </xf>
    <xf numFmtId="9" fontId="12" fillId="8" borderId="0" xfId="14" applyFont="1" applyFill="1" applyBorder="1" applyAlignment="1" applyProtection="1">
      <alignment horizontal="center" vertical="center"/>
    </xf>
    <xf numFmtId="0" fontId="24" fillId="8" borderId="0" xfId="2" applyFont="1" applyFill="1" applyAlignment="1">
      <alignment horizontal="center" vertical="center"/>
    </xf>
    <xf numFmtId="9" fontId="24" fillId="8" borderId="0" xfId="14" applyFont="1" applyFill="1" applyBorder="1" applyAlignment="1" applyProtection="1">
      <alignment horizontal="center" vertical="center"/>
    </xf>
    <xf numFmtId="0" fontId="13" fillId="8" borderId="0" xfId="2" applyFont="1" applyFill="1" applyAlignment="1">
      <alignment horizontal="center" vertical="center"/>
    </xf>
    <xf numFmtId="10" fontId="13" fillId="8" borderId="0" xfId="14" applyNumberFormat="1" applyFont="1" applyFill="1" applyBorder="1" applyAlignment="1" applyProtection="1">
      <alignment horizontal="center" vertical="center"/>
    </xf>
    <xf numFmtId="9" fontId="12" fillId="8" borderId="0" xfId="2" applyNumberFormat="1" applyFont="1" applyFill="1" applyAlignment="1">
      <alignment horizontal="center" vertical="center"/>
    </xf>
    <xf numFmtId="0" fontId="12" fillId="5" borderId="44" xfId="2" applyFont="1" applyFill="1" applyBorder="1"/>
    <xf numFmtId="164" fontId="74" fillId="8" borderId="0" xfId="2" applyNumberFormat="1" applyFont="1" applyFill="1" applyAlignment="1">
      <alignment vertical="center"/>
    </xf>
    <xf numFmtId="0" fontId="45" fillId="2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0" fillId="2" borderId="18" xfId="0" applyFont="1" applyFill="1" applyBorder="1" applyAlignment="1">
      <alignment horizontal="center" vertical="center" wrapText="1"/>
    </xf>
    <xf numFmtId="0" fontId="105" fillId="29" borderId="18" xfId="2" applyFont="1" applyFill="1" applyBorder="1" applyAlignment="1">
      <alignment horizontal="center" vertical="center"/>
    </xf>
    <xf numFmtId="0" fontId="61" fillId="29" borderId="18" xfId="2" applyFont="1" applyFill="1" applyBorder="1" applyAlignment="1">
      <alignment horizontal="center" vertical="center"/>
    </xf>
    <xf numFmtId="2" fontId="54" fillId="29" borderId="18" xfId="2" applyNumberFormat="1" applyFont="1" applyFill="1" applyBorder="1" applyAlignment="1">
      <alignment vertical="center"/>
    </xf>
    <xf numFmtId="0" fontId="50" fillId="29" borderId="18" xfId="2" applyFont="1" applyFill="1" applyBorder="1" applyAlignment="1">
      <alignment horizontal="center" vertical="center"/>
    </xf>
    <xf numFmtId="0" fontId="45" fillId="28" borderId="0" xfId="0" applyFont="1" applyFill="1" applyAlignment="1">
      <alignment horizontal="center" vertical="center"/>
    </xf>
    <xf numFmtId="164" fontId="20" fillId="23" borderId="0" xfId="2" applyNumberFormat="1" applyFont="1" applyFill="1" applyAlignment="1">
      <alignment horizontal="center" vertical="center"/>
    </xf>
    <xf numFmtId="0" fontId="72" fillId="11" borderId="14" xfId="2" applyFont="1" applyFill="1" applyBorder="1" applyAlignment="1">
      <alignment vertical="center"/>
    </xf>
    <xf numFmtId="0" fontId="72" fillId="8" borderId="14" xfId="2" applyFont="1" applyFill="1" applyBorder="1" applyAlignment="1">
      <alignment vertical="center"/>
    </xf>
    <xf numFmtId="0" fontId="47" fillId="11" borderId="7" xfId="2" applyFont="1" applyFill="1" applyBorder="1" applyAlignment="1">
      <alignment vertical="center"/>
    </xf>
    <xf numFmtId="0" fontId="48" fillId="0" borderId="61" xfId="2" applyFont="1" applyBorder="1" applyAlignment="1">
      <alignment horizontal="left" vertical="center"/>
    </xf>
    <xf numFmtId="2" fontId="108" fillId="0" borderId="0" xfId="2" applyNumberFormat="1" applyFont="1" applyAlignment="1">
      <alignment vertical="center"/>
    </xf>
    <xf numFmtId="9" fontId="60" fillId="2" borderId="18" xfId="0" applyNumberFormat="1" applyFont="1" applyFill="1" applyBorder="1" applyAlignment="1">
      <alignment horizontal="center" vertical="center" wrapText="1"/>
    </xf>
    <xf numFmtId="0" fontId="24" fillId="8" borderId="31" xfId="2" applyFont="1" applyFill="1" applyBorder="1" applyAlignment="1" applyProtection="1">
      <alignment horizontal="center" vertical="center"/>
      <protection hidden="1"/>
    </xf>
    <xf numFmtId="0" fontId="13" fillId="0" borderId="0" xfId="2" applyFont="1" applyAlignment="1">
      <alignment horizontal="left" vertical="center"/>
    </xf>
    <xf numFmtId="0" fontId="25" fillId="0" borderId="0" xfId="2" applyFont="1" applyAlignment="1">
      <alignment vertical="center"/>
    </xf>
    <xf numFmtId="0" fontId="18" fillId="0" borderId="0" xfId="2" applyFont="1" applyAlignment="1" applyProtection="1">
      <alignment horizontal="center" vertical="center"/>
      <protection hidden="1"/>
    </xf>
    <xf numFmtId="0" fontId="94" fillId="8" borderId="0" xfId="2" applyFont="1" applyFill="1" applyAlignment="1" applyProtection="1">
      <alignment horizontal="center" vertical="center"/>
      <protection hidden="1"/>
    </xf>
    <xf numFmtId="0" fontId="12" fillId="32" borderId="0" xfId="2" applyFont="1" applyFill="1"/>
    <xf numFmtId="0" fontId="24" fillId="8" borderId="0" xfId="2" applyFont="1" applyFill="1" applyAlignment="1" applyProtection="1">
      <alignment vertical="center"/>
      <protection hidden="1"/>
    </xf>
    <xf numFmtId="0" fontId="12" fillId="32" borderId="63" xfId="2" applyFont="1" applyFill="1" applyBorder="1"/>
    <xf numFmtId="164" fontId="94" fillId="8" borderId="0" xfId="2" applyNumberFormat="1" applyFont="1" applyFill="1" applyAlignment="1">
      <alignment horizontal="right" vertical="center"/>
    </xf>
    <xf numFmtId="0" fontId="110" fillId="8" borderId="0" xfId="2" applyFont="1" applyFill="1" applyAlignment="1">
      <alignment horizontal="center" vertical="center"/>
    </xf>
    <xf numFmtId="0" fontId="12" fillId="32" borderId="45" xfId="2" applyFont="1" applyFill="1" applyBorder="1"/>
    <xf numFmtId="0" fontId="96" fillId="2" borderId="0" xfId="2" applyFont="1" applyFill="1" applyAlignment="1">
      <alignment vertical="center" wrapText="1"/>
    </xf>
    <xf numFmtId="0" fontId="12" fillId="8" borderId="33" xfId="2" applyFont="1" applyFill="1" applyBorder="1"/>
    <xf numFmtId="0" fontId="12" fillId="2" borderId="0" xfId="2" applyFont="1" applyFill="1"/>
    <xf numFmtId="165" fontId="21" fillId="2" borderId="0" xfId="2" applyNumberFormat="1" applyFont="1" applyFill="1" applyAlignment="1">
      <alignment vertical="center"/>
    </xf>
    <xf numFmtId="164" fontId="94" fillId="8" borderId="0" xfId="2" applyNumberFormat="1" applyFont="1" applyFill="1" applyAlignment="1">
      <alignment horizontal="right" vertical="center" wrapText="1"/>
    </xf>
    <xf numFmtId="0" fontId="17" fillId="8" borderId="64" xfId="2" applyFont="1" applyFill="1" applyBorder="1" applyAlignment="1">
      <alignment horizontal="center" vertical="center"/>
    </xf>
    <xf numFmtId="0" fontId="17" fillId="18" borderId="64" xfId="2" applyFont="1" applyFill="1" applyBorder="1" applyAlignment="1">
      <alignment horizontal="center" vertical="center"/>
    </xf>
    <xf numFmtId="169" fontId="101" fillId="8" borderId="0" xfId="2" applyNumberFormat="1" applyFont="1" applyFill="1" applyAlignment="1">
      <alignment horizontal="center" vertical="center"/>
    </xf>
    <xf numFmtId="0" fontId="104" fillId="8" borderId="0" xfId="2" applyFont="1" applyFill="1" applyAlignment="1">
      <alignment horizontal="left" vertical="center" wrapText="1"/>
    </xf>
    <xf numFmtId="0" fontId="101" fillId="0" borderId="0" xfId="2" applyFont="1" applyAlignment="1">
      <alignment horizontal="left" vertical="center" wrapText="1"/>
    </xf>
    <xf numFmtId="0" fontId="103" fillId="0" borderId="0" xfId="2" applyFont="1" applyAlignment="1">
      <alignment horizontal="center" vertical="center" wrapText="1"/>
    </xf>
    <xf numFmtId="0" fontId="102" fillId="0" borderId="0" xfId="2" applyFont="1" applyAlignment="1">
      <alignment horizontal="center" vertical="center" wrapText="1"/>
    </xf>
    <xf numFmtId="167" fontId="102" fillId="0" borderId="0" xfId="2" applyNumberFormat="1" applyFont="1" applyAlignment="1">
      <alignment horizontal="center" vertical="center"/>
    </xf>
    <xf numFmtId="0" fontId="102" fillId="0" borderId="0" xfId="2" applyFont="1" applyAlignment="1">
      <alignment horizontal="left" vertical="center" wrapText="1"/>
    </xf>
    <xf numFmtId="0" fontId="101" fillId="8" borderId="0" xfId="2" applyFont="1" applyFill="1" applyAlignment="1">
      <alignment horizontal="left" vertical="center" wrapText="1"/>
    </xf>
    <xf numFmtId="0" fontId="101" fillId="8" borderId="0" xfId="2" quotePrefix="1" applyFont="1" applyFill="1" applyAlignment="1">
      <alignment horizontal="left" vertical="center" wrapText="1"/>
    </xf>
    <xf numFmtId="0" fontId="106" fillId="8" borderId="0" xfId="0" applyFont="1" applyFill="1" applyAlignment="1">
      <alignment horizontal="left" vertical="center" wrapText="1" indent="1"/>
    </xf>
    <xf numFmtId="9" fontId="106" fillId="8" borderId="0" xfId="0" applyNumberFormat="1" applyFont="1" applyFill="1" applyAlignment="1">
      <alignment horizontal="left" vertical="center" wrapText="1" indent="1"/>
    </xf>
    <xf numFmtId="0" fontId="13" fillId="8" borderId="0" xfId="2" applyFont="1" applyFill="1" applyAlignment="1">
      <alignment horizontal="left" vertical="center"/>
    </xf>
    <xf numFmtId="9" fontId="98" fillId="8" borderId="0" xfId="2" applyNumberFormat="1" applyFont="1" applyFill="1" applyAlignment="1">
      <alignment horizontal="center" vertical="center"/>
    </xf>
    <xf numFmtId="0" fontId="17" fillId="8" borderId="0" xfId="2" applyFont="1" applyFill="1" applyAlignment="1">
      <alignment vertical="center"/>
    </xf>
    <xf numFmtId="0" fontId="25" fillId="8" borderId="0" xfId="2" applyFont="1" applyFill="1" applyAlignment="1">
      <alignment vertical="center"/>
    </xf>
    <xf numFmtId="0" fontId="109" fillId="8" borderId="0" xfId="2" applyFont="1" applyFill="1" applyAlignment="1">
      <alignment horizontal="center" vertical="center"/>
    </xf>
    <xf numFmtId="0" fontId="102" fillId="8" borderId="0" xfId="2" applyFont="1" applyFill="1" applyAlignment="1">
      <alignment horizontal="left" vertical="center" wrapText="1"/>
    </xf>
    <xf numFmtId="0" fontId="18" fillId="8" borderId="0" xfId="2" applyFont="1" applyFill="1" applyAlignment="1" applyProtection="1">
      <alignment horizontal="center" vertical="center"/>
      <protection hidden="1"/>
    </xf>
    <xf numFmtId="0" fontId="112" fillId="8" borderId="0" xfId="2" applyFont="1" applyFill="1" applyAlignment="1">
      <alignment vertical="center"/>
    </xf>
    <xf numFmtId="0" fontId="17" fillId="33" borderId="64" xfId="2" applyFont="1" applyFill="1" applyBorder="1" applyAlignment="1" applyProtection="1">
      <alignment horizontal="center" vertical="center"/>
      <protection locked="0"/>
    </xf>
    <xf numFmtId="0" fontId="91" fillId="8" borderId="0" xfId="2" applyFont="1" applyFill="1" applyAlignment="1">
      <alignment horizontal="center" vertical="center"/>
    </xf>
    <xf numFmtId="0" fontId="111" fillId="20" borderId="107" xfId="2" applyFont="1" applyFill="1" applyBorder="1" applyAlignment="1">
      <alignment horizontal="center" vertical="center"/>
    </xf>
    <xf numFmtId="0" fontId="12" fillId="8" borderId="81" xfId="2" applyFont="1" applyFill="1" applyBorder="1" applyAlignment="1">
      <alignment vertical="center"/>
    </xf>
    <xf numFmtId="0" fontId="111" fillId="20" borderId="108" xfId="2" applyFont="1" applyFill="1" applyBorder="1" applyAlignment="1" applyProtection="1">
      <alignment horizontal="center" vertical="center"/>
      <protection locked="0"/>
    </xf>
    <xf numFmtId="0" fontId="17" fillId="33" borderId="101" xfId="2" applyFont="1" applyFill="1" applyBorder="1" applyAlignment="1" applyProtection="1">
      <alignment horizontal="center" vertical="center"/>
      <protection locked="0"/>
    </xf>
    <xf numFmtId="0" fontId="24" fillId="8" borderId="121" xfId="2" applyFont="1" applyFill="1" applyBorder="1" applyAlignment="1" applyProtection="1">
      <alignment vertical="center"/>
      <protection hidden="1"/>
    </xf>
    <xf numFmtId="0" fontId="12" fillId="32" borderId="45" xfId="2" applyFont="1" applyFill="1" applyBorder="1" applyAlignment="1">
      <alignment horizontal="right"/>
    </xf>
    <xf numFmtId="0" fontId="95" fillId="8" borderId="0" xfId="2" applyFont="1" applyFill="1" applyAlignment="1">
      <alignment horizontal="left" vertical="center" wrapText="1"/>
    </xf>
    <xf numFmtId="0" fontId="18" fillId="18" borderId="125" xfId="2" applyFont="1" applyFill="1" applyBorder="1" applyAlignment="1">
      <alignment horizontal="right" vertical="center"/>
    </xf>
    <xf numFmtId="0" fontId="18" fillId="18" borderId="81" xfId="2" applyFont="1" applyFill="1" applyBorder="1" applyAlignment="1">
      <alignment horizontal="right" vertical="center"/>
    </xf>
    <xf numFmtId="0" fontId="17" fillId="8" borderId="101" xfId="2" applyFont="1" applyFill="1" applyBorder="1" applyAlignment="1">
      <alignment horizontal="center" vertical="center"/>
    </xf>
    <xf numFmtId="0" fontId="17" fillId="18" borderId="81" xfId="2" applyFont="1" applyFill="1" applyBorder="1" applyAlignment="1">
      <alignment vertical="center"/>
    </xf>
    <xf numFmtId="0" fontId="17" fillId="18" borderId="94" xfId="2" applyFont="1" applyFill="1" applyBorder="1" applyAlignment="1">
      <alignment horizontal="center" vertical="center"/>
    </xf>
    <xf numFmtId="0" fontId="17" fillId="18" borderId="101" xfId="2" applyFont="1" applyFill="1" applyBorder="1" applyAlignment="1">
      <alignment horizontal="center" vertical="center"/>
    </xf>
    <xf numFmtId="0" fontId="91" fillId="8" borderId="120" xfId="2" applyFont="1" applyFill="1" applyBorder="1" applyAlignment="1">
      <alignment horizontal="center" vertical="center"/>
    </xf>
    <xf numFmtId="0" fontId="112" fillId="8" borderId="0" xfId="2" applyFont="1" applyFill="1" applyAlignment="1">
      <alignment horizontal="left" vertical="center" wrapText="1" indent="1"/>
    </xf>
    <xf numFmtId="0" fontId="7" fillId="0" borderId="1" xfId="0" applyFont="1" applyBorder="1" applyAlignment="1">
      <alignment horizontal="center" readingOrder="1"/>
    </xf>
    <xf numFmtId="0" fontId="111" fillId="2" borderId="140" xfId="2" applyFont="1" applyFill="1" applyBorder="1" applyAlignment="1">
      <alignment horizontal="center" vertical="center"/>
    </xf>
    <xf numFmtId="0" fontId="12" fillId="8" borderId="0" xfId="0" applyFont="1" applyFill="1"/>
    <xf numFmtId="0" fontId="13" fillId="8" borderId="0" xfId="0" applyFont="1" applyFill="1" applyAlignment="1">
      <alignment horizontal="right"/>
    </xf>
    <xf numFmtId="0" fontId="12" fillId="8" borderId="0" xfId="0" applyFont="1" applyFill="1" applyAlignment="1">
      <alignment horizontal="center" vertical="center"/>
    </xf>
    <xf numFmtId="0" fontId="12" fillId="2" borderId="0" xfId="0" applyFont="1" applyFill="1"/>
    <xf numFmtId="0" fontId="13" fillId="2" borderId="0" xfId="0" applyFont="1" applyFill="1" applyAlignment="1">
      <alignment horizontal="right"/>
    </xf>
    <xf numFmtId="0" fontId="12" fillId="0" borderId="0" xfId="0" applyFont="1"/>
    <xf numFmtId="0" fontId="12" fillId="2" borderId="42" xfId="0" applyFont="1" applyFill="1" applyBorder="1"/>
    <xf numFmtId="0" fontId="13" fillId="2" borderId="42" xfId="0" applyFont="1" applyFill="1" applyBorder="1" applyAlignment="1">
      <alignment horizontal="right"/>
    </xf>
    <xf numFmtId="0" fontId="112" fillId="8" borderId="0" xfId="2" applyFont="1" applyFill="1" applyAlignment="1">
      <alignment vertical="center" wrapText="1"/>
    </xf>
    <xf numFmtId="49" fontId="101" fillId="8" borderId="0" xfId="2" quotePrefix="1" applyNumberFormat="1" applyFont="1" applyFill="1" applyAlignment="1">
      <alignment horizontal="left" vertical="center" wrapText="1" indent="1"/>
    </xf>
    <xf numFmtId="0" fontId="126" fillId="34" borderId="106" xfId="2" applyFont="1" applyFill="1" applyBorder="1" applyAlignment="1">
      <alignment horizontal="center" vertical="center" wrapText="1"/>
    </xf>
    <xf numFmtId="170" fontId="12" fillId="8" borderId="0" xfId="0" applyNumberFormat="1" applyFont="1" applyFill="1" applyAlignment="1">
      <alignment horizontal="left" vertical="center" wrapText="1" indent="1"/>
    </xf>
    <xf numFmtId="9" fontId="13" fillId="8" borderId="0" xfId="0" applyNumberFormat="1" applyFont="1" applyFill="1" applyAlignment="1">
      <alignment horizontal="center" vertical="center"/>
    </xf>
    <xf numFmtId="0" fontId="119" fillId="34" borderId="103" xfId="2" applyFont="1" applyFill="1" applyBorder="1" applyAlignment="1">
      <alignment horizontal="center" vertical="center" wrapText="1"/>
    </xf>
    <xf numFmtId="0" fontId="111" fillId="0" borderId="140" xfId="2" applyFont="1" applyBorder="1" applyAlignment="1">
      <alignment horizontal="center" vertical="center"/>
    </xf>
    <xf numFmtId="0" fontId="118" fillId="8" borderId="0" xfId="2" applyFont="1" applyFill="1" applyAlignment="1">
      <alignment horizontal="left" vertical="center" indent="1"/>
    </xf>
    <xf numFmtId="0" fontId="109" fillId="18" borderId="94" xfId="2" applyFont="1" applyFill="1" applyBorder="1" applyAlignment="1">
      <alignment horizontal="center" vertical="center" wrapText="1"/>
    </xf>
    <xf numFmtId="0" fontId="118" fillId="34" borderId="103" xfId="2" applyFont="1" applyFill="1" applyBorder="1" applyAlignment="1">
      <alignment horizontal="center" vertical="center" wrapText="1"/>
    </xf>
    <xf numFmtId="0" fontId="132" fillId="8" borderId="0" xfId="2" applyFont="1" applyFill="1" applyAlignment="1">
      <alignment horizontal="left" vertical="center" indent="1" readingOrder="1"/>
    </xf>
    <xf numFmtId="0" fontId="109" fillId="18" borderId="129" xfId="2" applyFont="1" applyFill="1" applyBorder="1" applyAlignment="1">
      <alignment horizontal="center" vertical="center" wrapText="1"/>
    </xf>
    <xf numFmtId="0" fontId="12" fillId="8" borderId="42" xfId="0" applyFont="1" applyFill="1" applyBorder="1"/>
    <xf numFmtId="0" fontId="12" fillId="2" borderId="41" xfId="0" applyFont="1" applyFill="1" applyBorder="1"/>
    <xf numFmtId="0" fontId="12" fillId="8" borderId="0" xfId="0" applyFont="1" applyFill="1" applyAlignment="1">
      <alignment horizontal="center"/>
    </xf>
    <xf numFmtId="0" fontId="134" fillId="0" borderId="64" xfId="2" applyFont="1" applyBorder="1" applyAlignment="1" applyProtection="1">
      <alignment horizontal="center" vertical="center" wrapText="1"/>
      <protection locked="0"/>
    </xf>
    <xf numFmtId="0" fontId="134" fillId="0" borderId="101" xfId="2" applyFont="1" applyBorder="1" applyAlignment="1" applyProtection="1">
      <alignment horizontal="center" vertical="center" wrapText="1"/>
      <protection locked="0"/>
    </xf>
    <xf numFmtId="167" fontId="135" fillId="0" borderId="50" xfId="2" applyNumberFormat="1" applyFont="1" applyBorder="1" applyAlignment="1" applyProtection="1">
      <alignment horizontal="center" vertical="center"/>
      <protection locked="0"/>
    </xf>
    <xf numFmtId="167" fontId="135" fillId="0" borderId="135" xfId="2" applyNumberFormat="1" applyFont="1" applyBorder="1" applyAlignment="1" applyProtection="1">
      <alignment horizontal="center" vertical="center"/>
      <protection locked="0"/>
    </xf>
    <xf numFmtId="0" fontId="45" fillId="28" borderId="141" xfId="0" applyFont="1" applyFill="1" applyBorder="1" applyAlignment="1">
      <alignment horizontal="center" vertical="center"/>
    </xf>
    <xf numFmtId="0" fontId="7" fillId="0" borderId="141" xfId="0" applyFont="1" applyBorder="1" applyAlignment="1">
      <alignment horizontal="center"/>
    </xf>
    <xf numFmtId="0" fontId="0" fillId="0" borderId="141" xfId="0" applyBorder="1" applyAlignment="1">
      <alignment horizontal="center"/>
    </xf>
    <xf numFmtId="0" fontId="7" fillId="0" borderId="141" xfId="0" applyFont="1" applyBorder="1" applyAlignment="1">
      <alignment horizontal="center" vertical="center"/>
    </xf>
    <xf numFmtId="0" fontId="28" fillId="14" borderId="31" xfId="2" applyFont="1" applyFill="1" applyBorder="1" applyAlignment="1">
      <alignment horizontal="center"/>
    </xf>
    <xf numFmtId="0" fontId="28" fillId="14" borderId="32" xfId="2" applyFont="1" applyFill="1" applyBorder="1" applyAlignment="1">
      <alignment horizontal="center"/>
    </xf>
    <xf numFmtId="0" fontId="27" fillId="13" borderId="33" xfId="2" applyFont="1" applyFill="1" applyBorder="1" applyAlignment="1">
      <alignment horizontal="center" vertical="center"/>
    </xf>
    <xf numFmtId="0" fontId="0" fillId="0" borderId="0" xfId="0" applyAlignment="1">
      <alignment readingOrder="1"/>
    </xf>
    <xf numFmtId="0" fontId="7" fillId="0" borderId="62" xfId="0" applyFont="1" applyBorder="1" applyAlignment="1">
      <alignment horizontal="center"/>
    </xf>
    <xf numFmtId="0" fontId="7" fillId="0" borderId="0" xfId="0" applyFont="1" applyAlignment="1">
      <alignment horizontal="center" readingOrder="1"/>
    </xf>
    <xf numFmtId="0" fontId="7" fillId="0" borderId="0" xfId="0" applyFont="1" applyAlignment="1">
      <alignment horizontal="center"/>
    </xf>
    <xf numFmtId="2" fontId="137" fillId="15" borderId="18" xfId="2" applyNumberFormat="1" applyFont="1" applyFill="1" applyBorder="1" applyAlignment="1">
      <alignment vertical="center"/>
    </xf>
    <xf numFmtId="2" fontId="137" fillId="16" borderId="18" xfId="2" applyNumberFormat="1" applyFont="1" applyFill="1" applyBorder="1" applyAlignment="1">
      <alignment vertical="center"/>
    </xf>
    <xf numFmtId="2" fontId="137" fillId="9" borderId="18" xfId="2" applyNumberFormat="1" applyFont="1" applyFill="1" applyBorder="1" applyAlignment="1">
      <alignment vertical="center"/>
    </xf>
    <xf numFmtId="0" fontId="60" fillId="2" borderId="18" xfId="0" applyFont="1" applyFill="1" applyBorder="1" applyAlignment="1">
      <alignment horizontal="right" vertical="center" wrapText="1" readingOrder="1"/>
    </xf>
    <xf numFmtId="0" fontId="138" fillId="2" borderId="18" xfId="0" applyFont="1" applyFill="1" applyBorder="1" applyAlignment="1">
      <alignment horizontal="center" vertical="center" readingOrder="2"/>
    </xf>
    <xf numFmtId="171" fontId="135" fillId="0" borderId="50" xfId="2" applyNumberFormat="1" applyFont="1" applyBorder="1" applyAlignment="1" applyProtection="1">
      <alignment horizontal="center" vertical="center"/>
      <protection locked="0"/>
    </xf>
    <xf numFmtId="9" fontId="106" fillId="8" borderId="88" xfId="0" applyNumberFormat="1" applyFont="1" applyFill="1" applyBorder="1" applyAlignment="1">
      <alignment horizontal="left" vertical="center" wrapText="1" indent="1"/>
    </xf>
    <xf numFmtId="0" fontId="109" fillId="18" borderId="127" xfId="2" applyFont="1" applyFill="1" applyBorder="1" applyAlignment="1">
      <alignment horizontal="center" vertical="center"/>
    </xf>
    <xf numFmtId="170" fontId="12" fillId="8" borderId="88" xfId="0" applyNumberFormat="1" applyFont="1" applyFill="1" applyBorder="1" applyAlignment="1">
      <alignment horizontal="left" vertical="center" wrapText="1" indent="1"/>
    </xf>
    <xf numFmtId="0" fontId="7" fillId="17" borderId="0" xfId="30" applyFill="1"/>
    <xf numFmtId="0" fontId="7" fillId="17" borderId="0" xfId="30" applyFill="1" applyAlignment="1">
      <alignment readingOrder="1"/>
    </xf>
    <xf numFmtId="0" fontId="7" fillId="17" borderId="0" xfId="30" applyFill="1" applyAlignment="1">
      <alignment horizontal="right" vertical="top"/>
    </xf>
    <xf numFmtId="0" fontId="12" fillId="0" borderId="142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143" xfId="0" applyFont="1" applyBorder="1" applyAlignment="1" applyProtection="1">
      <alignment horizontal="center" vertical="center"/>
      <protection locked="0"/>
    </xf>
    <xf numFmtId="0" fontId="12" fillId="0" borderId="144" xfId="0" applyFont="1" applyBorder="1" applyAlignment="1" applyProtection="1">
      <alignment horizontal="center" vertical="center"/>
      <protection locked="0"/>
    </xf>
    <xf numFmtId="0" fontId="12" fillId="0" borderId="145" xfId="0" applyFont="1" applyBorder="1" applyAlignment="1" applyProtection="1">
      <alignment horizontal="center" vertical="center"/>
      <protection locked="0"/>
    </xf>
    <xf numFmtId="0" fontId="12" fillId="2" borderId="147" xfId="2" applyFont="1" applyFill="1" applyBorder="1"/>
    <xf numFmtId="0" fontId="12" fillId="2" borderId="147" xfId="0" applyFont="1" applyFill="1" applyBorder="1"/>
    <xf numFmtId="164" fontId="121" fillId="18" borderId="113" xfId="2" applyNumberFormat="1" applyFont="1" applyFill="1" applyBorder="1" applyAlignment="1">
      <alignment horizontal="right" vertical="center" wrapText="1" indent="1"/>
    </xf>
    <xf numFmtId="0" fontId="121" fillId="18" borderId="117" xfId="2" applyFont="1" applyFill="1" applyBorder="1" applyAlignment="1">
      <alignment horizontal="right" vertical="center" wrapText="1" indent="1"/>
    </xf>
    <xf numFmtId="164" fontId="121" fillId="18" borderId="117" xfId="2" applyNumberFormat="1" applyFont="1" applyFill="1" applyBorder="1" applyAlignment="1">
      <alignment horizontal="right" vertical="center" wrapText="1" indent="1" readingOrder="2"/>
    </xf>
    <xf numFmtId="164" fontId="121" fillId="18" borderId="117" xfId="2" applyNumberFormat="1" applyFont="1" applyFill="1" applyBorder="1" applyAlignment="1">
      <alignment horizontal="right" vertical="center" wrapText="1" indent="1"/>
    </xf>
    <xf numFmtId="164" fontId="123" fillId="18" borderId="119" xfId="2" applyNumberFormat="1" applyFont="1" applyFill="1" applyBorder="1" applyAlignment="1">
      <alignment horizontal="right" vertical="center" wrapText="1" indent="1"/>
    </xf>
    <xf numFmtId="164" fontId="121" fillId="18" borderId="111" xfId="2" applyNumberFormat="1" applyFont="1" applyFill="1" applyBorder="1" applyAlignment="1">
      <alignment horizontal="right" vertical="center" wrapText="1" indent="1"/>
    </xf>
    <xf numFmtId="164" fontId="121" fillId="18" borderId="98" xfId="2" applyNumberFormat="1" applyFont="1" applyFill="1" applyBorder="1" applyAlignment="1">
      <alignment horizontal="right" vertical="center" wrapText="1" indent="1"/>
    </xf>
    <xf numFmtId="164" fontId="121" fillId="18" borderId="100" xfId="2" applyNumberFormat="1" applyFont="1" applyFill="1" applyBorder="1" applyAlignment="1">
      <alignment horizontal="right" vertical="center" wrapText="1" indent="1"/>
    </xf>
    <xf numFmtId="169" fontId="101" fillId="8" borderId="154" xfId="2" applyNumberFormat="1" applyFont="1" applyFill="1" applyBorder="1" applyAlignment="1">
      <alignment horizontal="center" vertical="center"/>
    </xf>
    <xf numFmtId="1" fontId="17" fillId="33" borderId="64" xfId="2" applyNumberFormat="1" applyFont="1" applyFill="1" applyBorder="1" applyAlignment="1">
      <alignment horizontal="center" vertical="center"/>
    </xf>
    <xf numFmtId="169" fontId="149" fillId="0" borderId="0" xfId="2" quotePrefix="1" applyNumberFormat="1" applyFont="1" applyAlignment="1">
      <alignment horizontal="left" vertical="center" indent="1"/>
    </xf>
    <xf numFmtId="0" fontId="101" fillId="8" borderId="120" xfId="2" applyFont="1" applyFill="1" applyBorder="1" applyAlignment="1">
      <alignment horizontal="left" vertical="center" wrapText="1"/>
    </xf>
    <xf numFmtId="0" fontId="99" fillId="8" borderId="0" xfId="2" applyFont="1" applyFill="1" applyAlignment="1">
      <alignment vertical="center"/>
    </xf>
    <xf numFmtId="0" fontId="100" fillId="8" borderId="0" xfId="2" applyFont="1" applyFill="1" applyAlignment="1">
      <alignment vertical="center" wrapText="1"/>
    </xf>
    <xf numFmtId="0" fontId="27" fillId="8" borderId="0" xfId="2" applyFont="1" applyFill="1" applyAlignment="1">
      <alignment vertical="center"/>
    </xf>
    <xf numFmtId="0" fontId="28" fillId="8" borderId="31" xfId="2" applyFont="1" applyFill="1" applyBorder="1" applyAlignment="1">
      <alignment horizontal="center"/>
    </xf>
    <xf numFmtId="0" fontId="28" fillId="8" borderId="32" xfId="2" applyFont="1" applyFill="1" applyBorder="1" applyAlignment="1">
      <alignment horizontal="center"/>
    </xf>
    <xf numFmtId="0" fontId="27" fillId="8" borderId="33" xfId="2" applyFont="1" applyFill="1" applyBorder="1" applyAlignment="1">
      <alignment horizontal="center" vertical="center"/>
    </xf>
    <xf numFmtId="0" fontId="32" fillId="8" borderId="30" xfId="2" applyFont="1" applyFill="1" applyBorder="1" applyAlignment="1">
      <alignment horizontal="center" vertical="center" wrapText="1"/>
    </xf>
    <xf numFmtId="0" fontId="12" fillId="8" borderId="29" xfId="2" applyFont="1" applyFill="1" applyBorder="1" applyAlignment="1">
      <alignment horizontal="center" vertical="center"/>
    </xf>
    <xf numFmtId="0" fontId="32" fillId="8" borderId="1" xfId="2" applyFont="1" applyFill="1" applyBorder="1" applyAlignment="1">
      <alignment horizontal="center" vertical="center" wrapText="1"/>
    </xf>
    <xf numFmtId="0" fontId="12" fillId="8" borderId="34" xfId="2" applyFont="1" applyFill="1" applyBorder="1" applyAlignment="1">
      <alignment horizontal="center" vertical="center"/>
    </xf>
    <xf numFmtId="0" fontId="32" fillId="8" borderId="0" xfId="2" applyFont="1" applyFill="1" applyAlignment="1">
      <alignment horizontal="center" vertical="center" wrapText="1"/>
    </xf>
    <xf numFmtId="0" fontId="28" fillId="8" borderId="31" xfId="2" applyFont="1" applyFill="1" applyBorder="1"/>
    <xf numFmtId="0" fontId="28" fillId="8" borderId="32" xfId="2" applyFont="1" applyFill="1" applyBorder="1"/>
    <xf numFmtId="0" fontId="31" fillId="8" borderId="30" xfId="2" applyFont="1" applyFill="1" applyBorder="1" applyAlignment="1">
      <alignment horizontal="left" vertical="center"/>
    </xf>
    <xf numFmtId="0" fontId="29" fillId="8" borderId="1" xfId="2" applyFont="1" applyFill="1" applyBorder="1" applyAlignment="1">
      <alignment horizontal="left" vertical="center"/>
    </xf>
    <xf numFmtId="0" fontId="12" fillId="8" borderId="54" xfId="2" applyFont="1" applyFill="1" applyBorder="1" applyAlignment="1">
      <alignment horizontal="center" vertical="center"/>
    </xf>
    <xf numFmtId="0" fontId="31" fillId="8" borderId="1" xfId="2" applyFont="1" applyFill="1" applyBorder="1" applyAlignment="1">
      <alignment horizontal="left" vertical="center"/>
    </xf>
    <xf numFmtId="0" fontId="12" fillId="8" borderId="60" xfId="2" applyFont="1" applyFill="1" applyBorder="1" applyAlignment="1">
      <alignment vertical="center"/>
    </xf>
    <xf numFmtId="0" fontId="31" fillId="8" borderId="53" xfId="2" applyFont="1" applyFill="1" applyBorder="1" applyAlignment="1">
      <alignment horizontal="left" vertical="center"/>
    </xf>
    <xf numFmtId="0" fontId="29" fillId="8" borderId="28" xfId="2" applyFont="1" applyFill="1" applyBorder="1" applyAlignment="1">
      <alignment horizontal="left" vertical="center"/>
    </xf>
    <xf numFmtId="0" fontId="12" fillId="8" borderId="55" xfId="2" applyFont="1" applyFill="1" applyBorder="1" applyAlignment="1">
      <alignment horizontal="center" vertical="center"/>
    </xf>
    <xf numFmtId="0" fontId="31" fillId="8" borderId="59" xfId="2" applyFont="1" applyFill="1" applyBorder="1" applyAlignment="1">
      <alignment horizontal="left" vertical="center"/>
    </xf>
    <xf numFmtId="0" fontId="29" fillId="8" borderId="41" xfId="2" applyFont="1" applyFill="1" applyBorder="1" applyAlignment="1">
      <alignment horizontal="left" vertical="center"/>
    </xf>
    <xf numFmtId="0" fontId="12" fillId="8" borderId="58" xfId="2" applyFont="1" applyFill="1" applyBorder="1" applyAlignment="1">
      <alignment horizontal="center" vertical="center"/>
    </xf>
    <xf numFmtId="0" fontId="12" fillId="8" borderId="57" xfId="2" applyFont="1" applyFill="1" applyBorder="1" applyAlignment="1">
      <alignment vertical="center"/>
    </xf>
    <xf numFmtId="0" fontId="31" fillId="8" borderId="0" xfId="2" applyFont="1" applyFill="1" applyAlignment="1">
      <alignment horizontal="left" vertical="center"/>
    </xf>
    <xf numFmtId="0" fontId="29" fillId="8" borderId="0" xfId="2" applyFont="1" applyFill="1" applyAlignment="1">
      <alignment horizontal="left" vertical="center"/>
    </xf>
    <xf numFmtId="0" fontId="12" fillId="8" borderId="56" xfId="0" applyFont="1" applyFill="1" applyBorder="1"/>
    <xf numFmtId="0" fontId="127" fillId="18" borderId="122" xfId="0" applyFont="1" applyFill="1" applyBorder="1" applyAlignment="1">
      <alignment horizontal="center" vertical="center" wrapText="1"/>
    </xf>
    <xf numFmtId="0" fontId="127" fillId="18" borderId="80" xfId="0" applyFont="1" applyFill="1" applyBorder="1" applyAlignment="1">
      <alignment horizontal="center" vertical="center" wrapText="1"/>
    </xf>
    <xf numFmtId="0" fontId="127" fillId="18" borderId="167" xfId="0" applyFont="1" applyFill="1" applyBorder="1" applyAlignment="1">
      <alignment horizontal="center" vertical="center" wrapText="1"/>
    </xf>
    <xf numFmtId="0" fontId="106" fillId="8" borderId="88" xfId="0" applyFont="1" applyFill="1" applyBorder="1" applyAlignment="1">
      <alignment horizontal="left" vertical="center" wrapText="1" indent="1"/>
    </xf>
    <xf numFmtId="9" fontId="12" fillId="8" borderId="88" xfId="2" applyNumberFormat="1" applyFont="1" applyFill="1" applyBorder="1" applyAlignment="1">
      <alignment horizontal="center" vertical="center"/>
    </xf>
    <xf numFmtId="170" fontId="147" fillId="30" borderId="165" xfId="0" applyNumberFormat="1" applyFont="1" applyFill="1" applyBorder="1" applyAlignment="1" applyProtection="1">
      <alignment horizontal="center" vertical="center" wrapText="1"/>
      <protection locked="0"/>
    </xf>
    <xf numFmtId="9" fontId="133" fillId="8" borderId="165" xfId="0" applyNumberFormat="1" applyFont="1" applyFill="1" applyBorder="1" applyAlignment="1" applyProtection="1">
      <alignment horizontal="center" vertical="center" wrapText="1"/>
      <protection locked="0"/>
    </xf>
    <xf numFmtId="0" fontId="143" fillId="30" borderId="165" xfId="0" applyFont="1" applyFill="1" applyBorder="1" applyAlignment="1" applyProtection="1">
      <alignment horizontal="center" vertical="center" wrapText="1"/>
      <protection locked="0"/>
    </xf>
    <xf numFmtId="9" fontId="133" fillId="8" borderId="165" xfId="34" applyFont="1" applyFill="1" applyBorder="1" applyAlignment="1" applyProtection="1">
      <alignment horizontal="center" vertical="center" wrapText="1"/>
      <protection locked="0"/>
    </xf>
    <xf numFmtId="9" fontId="133" fillId="8" borderId="169" xfId="0" applyNumberFormat="1" applyFont="1" applyFill="1" applyBorder="1" applyAlignment="1" applyProtection="1">
      <alignment horizontal="center" vertical="center" wrapText="1"/>
      <protection locked="0"/>
    </xf>
    <xf numFmtId="9" fontId="12" fillId="33" borderId="170" xfId="2" applyNumberFormat="1" applyFont="1" applyFill="1" applyBorder="1" applyAlignment="1">
      <alignment horizontal="center" vertical="center"/>
    </xf>
    <xf numFmtId="9" fontId="12" fillId="33" borderId="172" xfId="2" applyNumberFormat="1" applyFont="1" applyFill="1" applyBorder="1" applyAlignment="1">
      <alignment horizontal="center" vertical="center"/>
    </xf>
    <xf numFmtId="0" fontId="136" fillId="17" borderId="0" xfId="0" applyFont="1" applyFill="1" applyAlignment="1">
      <alignment horizontal="center" vertical="center" wrapText="1" readingOrder="2"/>
    </xf>
    <xf numFmtId="169" fontId="136" fillId="17" borderId="168" xfId="0" applyNumberFormat="1" applyFont="1" applyFill="1" applyBorder="1" applyAlignment="1">
      <alignment horizontal="center" vertical="center" wrapText="1"/>
    </xf>
    <xf numFmtId="0" fontId="136" fillId="17" borderId="168" xfId="0" applyFont="1" applyFill="1" applyBorder="1" applyAlignment="1">
      <alignment horizontal="center" vertical="center" wrapText="1"/>
    </xf>
    <xf numFmtId="0" fontId="0" fillId="17" borderId="176" xfId="0" applyFill="1" applyBorder="1" applyAlignment="1">
      <alignment horizontal="center" vertical="center" wrapText="1"/>
    </xf>
    <xf numFmtId="49" fontId="0" fillId="17" borderId="177" xfId="0" applyNumberFormat="1" applyFill="1" applyBorder="1" applyAlignment="1">
      <alignment horizontal="center" vertical="center" wrapText="1"/>
    </xf>
    <xf numFmtId="0" fontId="0" fillId="17" borderId="177" xfId="0" applyFill="1" applyBorder="1" applyAlignment="1">
      <alignment horizontal="center" vertical="center" wrapText="1"/>
    </xf>
    <xf numFmtId="168" fontId="0" fillId="17" borderId="177" xfId="0" applyNumberFormat="1" applyFill="1" applyBorder="1" applyAlignment="1">
      <alignment horizontal="center" vertical="center" wrapText="1"/>
    </xf>
    <xf numFmtId="172" fontId="0" fillId="17" borderId="177" xfId="0" applyNumberFormat="1" applyFill="1" applyBorder="1" applyAlignment="1">
      <alignment horizontal="center" vertical="center" wrapText="1"/>
    </xf>
    <xf numFmtId="1" fontId="0" fillId="17" borderId="177" xfId="0" applyNumberFormat="1" applyFill="1" applyBorder="1" applyAlignment="1">
      <alignment horizontal="center" vertical="center" wrapText="1"/>
    </xf>
    <xf numFmtId="9" fontId="0" fillId="17" borderId="177" xfId="0" applyNumberFormat="1" applyFill="1" applyBorder="1" applyAlignment="1">
      <alignment horizontal="center" vertical="center" wrapText="1"/>
    </xf>
    <xf numFmtId="167" fontId="0" fillId="17" borderId="177" xfId="0" applyNumberFormat="1" applyFill="1" applyBorder="1" applyAlignment="1">
      <alignment horizontal="center" vertical="center" wrapText="1"/>
    </xf>
    <xf numFmtId="0" fontId="0" fillId="17" borderId="177" xfId="0" applyFill="1" applyBorder="1" applyAlignment="1">
      <alignment horizontal="right" vertical="center" wrapText="1" readingOrder="1"/>
    </xf>
    <xf numFmtId="0" fontId="0" fillId="17" borderId="177" xfId="0" applyFill="1" applyBorder="1" applyAlignment="1">
      <alignment horizontal="center" vertical="center" wrapText="1" readingOrder="2"/>
    </xf>
    <xf numFmtId="0" fontId="0" fillId="17" borderId="177" xfId="0" applyFill="1" applyBorder="1" applyAlignment="1">
      <alignment horizontal="right" vertical="center" wrapText="1" readingOrder="2"/>
    </xf>
    <xf numFmtId="169" fontId="0" fillId="17" borderId="177" xfId="0" applyNumberFormat="1" applyFill="1" applyBorder="1" applyAlignment="1">
      <alignment horizontal="center" vertical="center" wrapText="1"/>
    </xf>
    <xf numFmtId="168" fontId="136" fillId="17" borderId="177" xfId="0" applyNumberFormat="1" applyFont="1" applyFill="1" applyBorder="1" applyAlignment="1">
      <alignment horizontal="center" vertical="center" wrapText="1"/>
    </xf>
    <xf numFmtId="168" fontId="136" fillId="17" borderId="178" xfId="0" applyNumberFormat="1" applyFont="1" applyFill="1" applyBorder="1" applyAlignment="1">
      <alignment horizontal="center" vertical="center" wrapText="1"/>
    </xf>
    <xf numFmtId="0" fontId="7" fillId="17" borderId="179" xfId="30" applyFill="1" applyBorder="1"/>
    <xf numFmtId="0" fontId="7" fillId="17" borderId="180" xfId="30" applyFill="1" applyBorder="1"/>
    <xf numFmtId="0" fontId="0" fillId="17" borderId="179" xfId="0" applyFill="1" applyBorder="1"/>
    <xf numFmtId="0" fontId="0" fillId="17" borderId="0" xfId="0" applyFill="1"/>
    <xf numFmtId="0" fontId="0" fillId="17" borderId="180" xfId="0" applyFill="1" applyBorder="1"/>
    <xf numFmtId="0" fontId="0" fillId="17" borderId="181" xfId="0" applyFill="1" applyBorder="1"/>
    <xf numFmtId="0" fontId="0" fillId="17" borderId="182" xfId="0" applyFill="1" applyBorder="1"/>
    <xf numFmtId="169" fontId="136" fillId="17" borderId="183" xfId="0" applyNumberFormat="1" applyFont="1" applyFill="1" applyBorder="1" applyAlignment="1">
      <alignment horizontal="center" vertical="center" wrapText="1"/>
    </xf>
    <xf numFmtId="0" fontId="136" fillId="17" borderId="183" xfId="0" applyFont="1" applyFill="1" applyBorder="1" applyAlignment="1">
      <alignment horizontal="center" vertical="center" wrapText="1"/>
    </xf>
    <xf numFmtId="0" fontId="0" fillId="17" borderId="184" xfId="0" applyFill="1" applyBorder="1"/>
    <xf numFmtId="0" fontId="107" fillId="2" borderId="185" xfId="0" applyFont="1" applyFill="1" applyBorder="1" applyAlignment="1">
      <alignment horizontal="center" vertical="center" wrapText="1"/>
    </xf>
    <xf numFmtId="0" fontId="107" fillId="2" borderId="186" xfId="0" applyFont="1" applyFill="1" applyBorder="1" applyAlignment="1">
      <alignment horizontal="center" vertical="center" wrapText="1"/>
    </xf>
    <xf numFmtId="0" fontId="107" fillId="2" borderId="187" xfId="0" applyFont="1" applyFill="1" applyBorder="1" applyAlignment="1">
      <alignment horizontal="center" vertical="center" wrapText="1"/>
    </xf>
    <xf numFmtId="0" fontId="141" fillId="2" borderId="186" xfId="0" applyFont="1" applyFill="1" applyBorder="1" applyAlignment="1">
      <alignment horizontal="center" vertical="center" wrapText="1"/>
    </xf>
    <xf numFmtId="0" fontId="141" fillId="2" borderId="188" xfId="0" applyFont="1" applyFill="1" applyBorder="1" applyAlignment="1">
      <alignment horizontal="center" vertical="center" wrapText="1"/>
    </xf>
    <xf numFmtId="170" fontId="147" fillId="30" borderId="169" xfId="0" applyNumberFormat="1" applyFont="1" applyFill="1" applyBorder="1" applyAlignment="1">
      <alignment horizontal="center" vertical="center" wrapText="1"/>
    </xf>
    <xf numFmtId="170" fontId="147" fillId="30" borderId="165" xfId="0" applyNumberFormat="1" applyFont="1" applyFill="1" applyBorder="1" applyAlignment="1">
      <alignment horizontal="center" vertical="center" wrapText="1"/>
    </xf>
    <xf numFmtId="0" fontId="143" fillId="30" borderId="169" xfId="0" applyFont="1" applyFill="1" applyBorder="1" applyAlignment="1">
      <alignment horizontal="center" vertical="center" wrapText="1"/>
    </xf>
    <xf numFmtId="0" fontId="143" fillId="30" borderId="165" xfId="0" applyFont="1" applyFill="1" applyBorder="1" applyAlignment="1">
      <alignment horizontal="center" vertical="center" wrapText="1"/>
    </xf>
    <xf numFmtId="0" fontId="133" fillId="8" borderId="175" xfId="0" applyFont="1" applyFill="1" applyBorder="1" applyAlignment="1">
      <alignment horizontal="left" vertical="center" wrapText="1"/>
    </xf>
    <xf numFmtId="0" fontId="133" fillId="8" borderId="173" xfId="0" applyFont="1" applyFill="1" applyBorder="1" applyAlignment="1">
      <alignment horizontal="left" vertical="center" wrapText="1"/>
    </xf>
    <xf numFmtId="0" fontId="133" fillId="8" borderId="174" xfId="0" applyFont="1" applyFill="1" applyBorder="1" applyAlignment="1">
      <alignment horizontal="left" vertical="center" wrapText="1"/>
    </xf>
    <xf numFmtId="15" fontId="0" fillId="0" borderId="0" xfId="0" applyNumberFormat="1"/>
    <xf numFmtId="20" fontId="0" fillId="0" borderId="0" xfId="0" applyNumberFormat="1"/>
    <xf numFmtId="49" fontId="149" fillId="0" borderId="0" xfId="2" quotePrefix="1" applyNumberFormat="1" applyFont="1" applyAlignment="1" applyProtection="1">
      <alignment vertical="center" wrapText="1"/>
      <protection locked="0"/>
    </xf>
    <xf numFmtId="49" fontId="0" fillId="17" borderId="176" xfId="0" applyNumberFormat="1" applyFill="1" applyBorder="1" applyAlignment="1">
      <alignment horizontal="center" vertical="center" wrapText="1"/>
    </xf>
    <xf numFmtId="0" fontId="133" fillId="8" borderId="175" xfId="0" applyFont="1" applyFill="1" applyBorder="1" applyAlignment="1">
      <alignment horizontal="left" vertical="center" wrapText="1"/>
    </xf>
    <xf numFmtId="0" fontId="133" fillId="8" borderId="173" xfId="0" applyFont="1" applyFill="1" applyBorder="1" applyAlignment="1">
      <alignment horizontal="left" vertical="center" wrapText="1"/>
    </xf>
    <xf numFmtId="0" fontId="133" fillId="8" borderId="174" xfId="0" applyFont="1" applyFill="1" applyBorder="1" applyAlignment="1">
      <alignment horizontal="left" vertical="center" wrapText="1"/>
    </xf>
    <xf numFmtId="0" fontId="133" fillId="8" borderId="175" xfId="0" applyFont="1" applyFill="1" applyBorder="1" applyAlignment="1" applyProtection="1">
      <alignment horizontal="left" vertical="center" wrapText="1"/>
      <protection locked="0"/>
    </xf>
    <xf numFmtId="0" fontId="133" fillId="8" borderId="173" xfId="0" applyFont="1" applyFill="1" applyBorder="1" applyAlignment="1" applyProtection="1">
      <alignment horizontal="left" vertical="center" wrapText="1"/>
      <protection locked="0"/>
    </xf>
    <xf numFmtId="0" fontId="133" fillId="8" borderId="174" xfId="0" applyFont="1" applyFill="1" applyBorder="1" applyAlignment="1" applyProtection="1">
      <alignment horizontal="left" vertical="center" wrapText="1"/>
      <protection locked="0"/>
    </xf>
    <xf numFmtId="0" fontId="106" fillId="8" borderId="192" xfId="0" applyFont="1" applyFill="1" applyBorder="1" applyAlignment="1">
      <alignment horizontal="left" vertical="center" wrapText="1"/>
    </xf>
    <xf numFmtId="0" fontId="106" fillId="8" borderId="173" xfId="0" applyFont="1" applyFill="1" applyBorder="1" applyAlignment="1">
      <alignment horizontal="left" vertical="center" wrapText="1"/>
    </xf>
    <xf numFmtId="0" fontId="106" fillId="8" borderId="174" xfId="0" applyFont="1" applyFill="1" applyBorder="1" applyAlignment="1">
      <alignment horizontal="left" vertical="center" wrapText="1"/>
    </xf>
    <xf numFmtId="0" fontId="133" fillId="0" borderId="134" xfId="2" applyFont="1" applyBorder="1" applyAlignment="1" applyProtection="1">
      <alignment horizontal="right" vertical="center" wrapText="1"/>
      <protection locked="0"/>
    </xf>
    <xf numFmtId="0" fontId="133" fillId="0" borderId="88" xfId="2" applyFont="1" applyBorder="1" applyAlignment="1" applyProtection="1">
      <alignment horizontal="right" vertical="center" wrapText="1"/>
      <protection locked="0"/>
    </xf>
    <xf numFmtId="0" fontId="133" fillId="0" borderId="112" xfId="2" applyFont="1" applyBorder="1" applyAlignment="1" applyProtection="1">
      <alignment horizontal="right" vertical="center" wrapText="1"/>
      <protection locked="0"/>
    </xf>
    <xf numFmtId="0" fontId="133" fillId="0" borderId="64" xfId="2" applyFont="1" applyBorder="1" applyAlignment="1" applyProtection="1">
      <alignment horizontal="right" vertical="center" wrapText="1" indent="1"/>
      <protection locked="0"/>
    </xf>
    <xf numFmtId="0" fontId="133" fillId="0" borderId="101" xfId="2" applyFont="1" applyBorder="1" applyAlignment="1" applyProtection="1">
      <alignment horizontal="right" vertical="center" wrapText="1" indent="1"/>
      <protection locked="0"/>
    </xf>
    <xf numFmtId="0" fontId="133" fillId="0" borderId="48" xfId="2" applyFont="1" applyBorder="1" applyAlignment="1" applyProtection="1">
      <alignment horizontal="right" vertical="center" wrapText="1"/>
      <protection locked="0"/>
    </xf>
    <xf numFmtId="0" fontId="133" fillId="0" borderId="47" xfId="2" applyFont="1" applyBorder="1" applyAlignment="1" applyProtection="1">
      <alignment horizontal="right" vertical="center" wrapText="1"/>
      <protection locked="0"/>
    </xf>
    <xf numFmtId="0" fontId="133" fillId="0" borderId="131" xfId="2" applyFont="1" applyBorder="1" applyAlignment="1" applyProtection="1">
      <alignment horizontal="right" vertical="center" wrapText="1"/>
      <protection locked="0"/>
    </xf>
    <xf numFmtId="0" fontId="135" fillId="0" borderId="136" xfId="2" applyFont="1" applyBorder="1" applyAlignment="1" applyProtection="1">
      <alignment horizontal="center" vertical="center" wrapText="1"/>
      <protection locked="0"/>
    </xf>
    <xf numFmtId="0" fontId="135" fillId="0" borderId="137" xfId="2" applyFont="1" applyBorder="1" applyAlignment="1" applyProtection="1">
      <alignment horizontal="center" vertical="center" wrapText="1"/>
      <protection locked="0"/>
    </xf>
    <xf numFmtId="0" fontId="135" fillId="0" borderId="71" xfId="2" applyFont="1" applyBorder="1" applyAlignment="1" applyProtection="1">
      <alignment horizontal="right" vertical="center" wrapText="1"/>
      <protection locked="0"/>
    </xf>
    <xf numFmtId="0" fontId="135" fillId="0" borderId="67" xfId="2" applyFont="1" applyBorder="1" applyAlignment="1" applyProtection="1">
      <alignment horizontal="right" vertical="center" wrapText="1"/>
      <protection locked="0"/>
    </xf>
    <xf numFmtId="0" fontId="135" fillId="0" borderId="118" xfId="2" applyFont="1" applyBorder="1" applyAlignment="1" applyProtection="1">
      <alignment horizontal="right" vertical="center" wrapText="1"/>
      <protection locked="0"/>
    </xf>
    <xf numFmtId="0" fontId="133" fillId="0" borderId="46" xfId="2" applyFont="1" applyBorder="1" applyAlignment="1" applyProtection="1">
      <alignment horizontal="right" vertical="center" wrapText="1"/>
      <protection locked="0"/>
    </xf>
    <xf numFmtId="0" fontId="133" fillId="0" borderId="52" xfId="2" applyFont="1" applyBorder="1" applyAlignment="1" applyProtection="1">
      <alignment horizontal="right" vertical="center" wrapText="1"/>
      <protection locked="0"/>
    </xf>
    <xf numFmtId="0" fontId="18" fillId="0" borderId="68" xfId="2" applyFont="1" applyBorder="1" applyAlignment="1" applyProtection="1">
      <alignment horizontal="center" vertical="center"/>
      <protection hidden="1"/>
    </xf>
    <xf numFmtId="0" fontId="109" fillId="18" borderId="114" xfId="2" applyFont="1" applyFill="1" applyBorder="1" applyAlignment="1">
      <alignment horizontal="center" vertical="center" wrapText="1"/>
    </xf>
    <xf numFmtId="0" fontId="109" fillId="18" borderId="114" xfId="2" applyFont="1" applyFill="1" applyBorder="1" applyAlignment="1">
      <alignment horizontal="center" vertical="center"/>
    </xf>
    <xf numFmtId="0" fontId="109" fillId="18" borderId="128" xfId="2" applyFont="1" applyFill="1" applyBorder="1" applyAlignment="1">
      <alignment horizontal="center" vertical="center" wrapText="1"/>
    </xf>
    <xf numFmtId="0" fontId="109" fillId="18" borderId="123" xfId="2" applyFont="1" applyFill="1" applyBorder="1" applyAlignment="1">
      <alignment horizontal="center" vertical="center"/>
    </xf>
    <xf numFmtId="0" fontId="132" fillId="31" borderId="90" xfId="2" applyFont="1" applyFill="1" applyBorder="1" applyAlignment="1">
      <alignment horizontal="center" vertical="center" readingOrder="1"/>
    </xf>
    <xf numFmtId="0" fontId="132" fillId="31" borderId="91" xfId="2" applyFont="1" applyFill="1" applyBorder="1" applyAlignment="1">
      <alignment horizontal="center" vertical="center" readingOrder="1"/>
    </xf>
    <xf numFmtId="0" fontId="132" fillId="31" borderId="92" xfId="2" applyFont="1" applyFill="1" applyBorder="1" applyAlignment="1">
      <alignment horizontal="center" vertical="center" readingOrder="1"/>
    </xf>
    <xf numFmtId="0" fontId="133" fillId="0" borderId="51" xfId="2" applyFont="1" applyBorder="1" applyAlignment="1" applyProtection="1">
      <alignment horizontal="right" vertical="center" wrapText="1"/>
      <protection locked="0"/>
    </xf>
    <xf numFmtId="0" fontId="24" fillId="8" borderId="43" xfId="2" applyFont="1" applyFill="1" applyBorder="1" applyAlignment="1" applyProtection="1">
      <alignment horizontal="center" vertical="center"/>
      <protection hidden="1"/>
    </xf>
    <xf numFmtId="0" fontId="109" fillId="18" borderId="96" xfId="2" applyFont="1" applyFill="1" applyBorder="1" applyAlignment="1">
      <alignment horizontal="center" vertical="center" wrapText="1"/>
    </xf>
    <xf numFmtId="0" fontId="109" fillId="18" borderId="94" xfId="2" applyFont="1" applyFill="1" applyBorder="1" applyAlignment="1">
      <alignment horizontal="center" vertical="center"/>
    </xf>
    <xf numFmtId="0" fontId="101" fillId="0" borderId="48" xfId="2" applyFont="1" applyBorder="1" applyAlignment="1" applyProtection="1">
      <alignment horizontal="center" vertical="center" wrapText="1"/>
      <protection locked="0"/>
    </xf>
    <xf numFmtId="0" fontId="101" fillId="0" borderId="47" xfId="2" applyFont="1" applyBorder="1" applyAlignment="1" applyProtection="1">
      <alignment horizontal="center" vertical="center" wrapText="1"/>
      <protection locked="0"/>
    </xf>
    <xf numFmtId="0" fontId="91" fillId="8" borderId="0" xfId="2" applyFont="1" applyFill="1" applyAlignment="1">
      <alignment horizontal="center" vertical="center"/>
    </xf>
    <xf numFmtId="0" fontId="133" fillId="0" borderId="49" xfId="2" applyFont="1" applyBorder="1" applyAlignment="1" applyProtection="1">
      <alignment horizontal="right" vertical="center" wrapText="1"/>
      <protection locked="0"/>
    </xf>
    <xf numFmtId="0" fontId="133" fillId="0" borderId="130" xfId="2" applyFont="1" applyBorder="1" applyAlignment="1" applyProtection="1">
      <alignment horizontal="right" vertical="center" wrapText="1"/>
      <protection locked="0"/>
    </xf>
    <xf numFmtId="0" fontId="135" fillId="0" borderId="64" xfId="2" applyFont="1" applyBorder="1" applyAlignment="1" applyProtection="1">
      <alignment horizontal="left" vertical="center" wrapText="1"/>
      <protection locked="0"/>
    </xf>
    <xf numFmtId="0" fontId="135" fillId="0" borderId="99" xfId="2" applyFont="1" applyBorder="1" applyAlignment="1" applyProtection="1">
      <alignment horizontal="left" vertical="center" wrapText="1"/>
      <protection locked="0"/>
    </xf>
    <xf numFmtId="0" fontId="135" fillId="0" borderId="94" xfId="2" quotePrefix="1" applyFont="1" applyBorder="1" applyAlignment="1" applyProtection="1">
      <alignment horizontal="left" vertical="center" wrapText="1"/>
      <protection locked="0"/>
    </xf>
    <xf numFmtId="0" fontId="135" fillId="0" borderId="94" xfId="2" applyFont="1" applyBorder="1" applyAlignment="1" applyProtection="1">
      <alignment horizontal="left" vertical="center" wrapText="1"/>
      <protection locked="0"/>
    </xf>
    <xf numFmtId="0" fontId="135" fillId="0" borderId="97" xfId="2" applyFont="1" applyBorder="1" applyAlignment="1" applyProtection="1">
      <alignment horizontal="left" vertical="center" wrapText="1"/>
      <protection locked="0"/>
    </xf>
    <xf numFmtId="0" fontId="124" fillId="34" borderId="90" xfId="2" applyFont="1" applyFill="1" applyBorder="1" applyAlignment="1">
      <alignment horizontal="center" vertical="center" wrapText="1"/>
    </xf>
    <xf numFmtId="0" fontId="124" fillId="34" borderId="91" xfId="2" applyFont="1" applyFill="1" applyBorder="1" applyAlignment="1">
      <alignment horizontal="center" vertical="center"/>
    </xf>
    <xf numFmtId="0" fontId="124" fillId="34" borderId="92" xfId="2" applyFont="1" applyFill="1" applyBorder="1" applyAlignment="1">
      <alignment horizontal="center" vertical="center"/>
    </xf>
    <xf numFmtId="0" fontId="133" fillId="0" borderId="71" xfId="2" applyFont="1" applyBorder="1" applyAlignment="1" applyProtection="1">
      <alignment horizontal="right" vertical="center" wrapText="1" indent="1"/>
      <protection locked="0"/>
    </xf>
    <xf numFmtId="0" fontId="133" fillId="0" borderId="67" xfId="2" applyFont="1" applyBorder="1" applyAlignment="1" applyProtection="1">
      <alignment horizontal="right" vertical="center" wrapText="1" indent="1"/>
      <protection locked="0"/>
    </xf>
    <xf numFmtId="0" fontId="133" fillId="0" borderId="66" xfId="2" applyFont="1" applyBorder="1" applyAlignment="1" applyProtection="1">
      <alignment horizontal="right" vertical="center" wrapText="1" indent="1"/>
      <protection locked="0"/>
    </xf>
    <xf numFmtId="0" fontId="135" fillId="0" borderId="101" xfId="2" applyFont="1" applyBorder="1" applyAlignment="1" applyProtection="1">
      <alignment horizontal="left" vertical="center" wrapText="1"/>
      <protection locked="0"/>
    </xf>
    <xf numFmtId="0" fontId="135" fillId="0" borderId="102" xfId="2" applyFont="1" applyBorder="1" applyAlignment="1" applyProtection="1">
      <alignment horizontal="left" vertical="center" wrapText="1"/>
      <protection locked="0"/>
    </xf>
    <xf numFmtId="0" fontId="74" fillId="18" borderId="93" xfId="2" applyFont="1" applyFill="1" applyBorder="1" applyAlignment="1">
      <alignment horizontal="center" vertical="center" wrapText="1"/>
    </xf>
    <xf numFmtId="0" fontId="74" fillId="18" borderId="98" xfId="2" applyFont="1" applyFill="1" applyBorder="1" applyAlignment="1">
      <alignment horizontal="center" vertical="center"/>
    </xf>
    <xf numFmtId="0" fontId="74" fillId="18" borderId="100" xfId="2" applyFont="1" applyFill="1" applyBorder="1" applyAlignment="1">
      <alignment horizontal="center" vertical="center"/>
    </xf>
    <xf numFmtId="0" fontId="110" fillId="18" borderId="120" xfId="2" applyFont="1" applyFill="1" applyBorder="1" applyAlignment="1">
      <alignment horizontal="center" vertical="center" wrapText="1"/>
    </xf>
    <xf numFmtId="0" fontId="110" fillId="18" borderId="120" xfId="2" applyFont="1" applyFill="1" applyBorder="1" applyAlignment="1">
      <alignment horizontal="center" vertical="center"/>
    </xf>
    <xf numFmtId="0" fontId="110" fillId="18" borderId="132" xfId="2" applyFont="1" applyFill="1" applyBorder="1" applyAlignment="1">
      <alignment horizontal="center" vertical="center"/>
    </xf>
    <xf numFmtId="0" fontId="94" fillId="8" borderId="0" xfId="2" applyFont="1" applyFill="1" applyAlignment="1" applyProtection="1">
      <alignment horizontal="center" vertical="center"/>
      <protection hidden="1"/>
    </xf>
    <xf numFmtId="0" fontId="112" fillId="8" borderId="0" xfId="2" applyFont="1" applyFill="1" applyAlignment="1">
      <alignment horizontal="center" vertical="center"/>
    </xf>
    <xf numFmtId="0" fontId="114" fillId="2" borderId="107" xfId="2" applyFont="1" applyFill="1" applyBorder="1" applyAlignment="1">
      <alignment horizontal="center" vertical="center" wrapText="1" readingOrder="1"/>
    </xf>
    <xf numFmtId="0" fontId="114" fillId="2" borderId="107" xfId="2" applyFont="1" applyFill="1" applyBorder="1" applyAlignment="1">
      <alignment horizontal="center" vertical="center" readingOrder="1"/>
    </xf>
    <xf numFmtId="0" fontId="114" fillId="2" borderId="109" xfId="2" applyFont="1" applyFill="1" applyBorder="1" applyAlignment="1">
      <alignment horizontal="center" vertical="center" readingOrder="1"/>
    </xf>
    <xf numFmtId="0" fontId="135" fillId="0" borderId="138" xfId="2" applyFont="1" applyBorder="1" applyAlignment="1" applyProtection="1">
      <alignment horizontal="center" vertical="center" wrapText="1"/>
      <protection locked="0"/>
    </xf>
    <xf numFmtId="0" fontId="135" fillId="0" borderId="139" xfId="2" applyFont="1" applyBorder="1" applyAlignment="1" applyProtection="1">
      <alignment horizontal="center" vertical="center" wrapText="1"/>
      <protection locked="0"/>
    </xf>
    <xf numFmtId="0" fontId="133" fillId="0" borderId="133" xfId="2" applyFont="1" applyBorder="1" applyAlignment="1" applyProtection="1">
      <alignment horizontal="right" vertical="center" wrapText="1"/>
      <protection locked="0"/>
    </xf>
    <xf numFmtId="0" fontId="125" fillId="8" borderId="0" xfId="2" applyFont="1" applyFill="1" applyAlignment="1">
      <alignment horizontal="center" vertical="center" wrapText="1"/>
    </xf>
    <xf numFmtId="0" fontId="133" fillId="8" borderId="80" xfId="2" quotePrefix="1" applyFont="1" applyFill="1" applyBorder="1" applyAlignment="1" applyProtection="1">
      <alignment horizontal="left" vertical="center" wrapText="1"/>
      <protection locked="0"/>
    </xf>
    <xf numFmtId="0" fontId="133" fillId="8" borderId="81" xfId="2" quotePrefix="1" applyFont="1" applyFill="1" applyBorder="1" applyAlignment="1" applyProtection="1">
      <alignment horizontal="left" vertical="center" wrapText="1"/>
      <protection locked="0"/>
    </xf>
    <xf numFmtId="0" fontId="133" fillId="8" borderId="72" xfId="2" quotePrefix="1" applyFont="1" applyFill="1" applyBorder="1" applyAlignment="1" applyProtection="1">
      <alignment horizontal="left" vertical="center" wrapText="1"/>
      <protection locked="0"/>
    </xf>
    <xf numFmtId="0" fontId="133" fillId="8" borderId="0" xfId="2" quotePrefix="1" applyFont="1" applyFill="1" applyAlignment="1" applyProtection="1">
      <alignment horizontal="left" vertical="center" wrapText="1"/>
      <protection locked="0"/>
    </xf>
    <xf numFmtId="0" fontId="133" fillId="8" borderId="87" xfId="2" quotePrefix="1" applyFont="1" applyFill="1" applyBorder="1" applyAlignment="1" applyProtection="1">
      <alignment horizontal="left" vertical="center" wrapText="1"/>
      <protection locked="0"/>
    </xf>
    <xf numFmtId="0" fontId="133" fillId="8" borderId="88" xfId="2" quotePrefix="1" applyFont="1" applyFill="1" applyBorder="1" applyAlignment="1" applyProtection="1">
      <alignment horizontal="left" vertical="center" wrapText="1"/>
      <protection locked="0"/>
    </xf>
    <xf numFmtId="0" fontId="109" fillId="18" borderId="127" xfId="2" applyFont="1" applyFill="1" applyBorder="1" applyAlignment="1">
      <alignment horizontal="center" vertical="center"/>
    </xf>
    <xf numFmtId="0" fontId="117" fillId="34" borderId="91" xfId="2" applyFont="1" applyFill="1" applyBorder="1" applyAlignment="1">
      <alignment horizontal="center" vertical="center"/>
    </xf>
    <xf numFmtId="0" fontId="117" fillId="34" borderId="92" xfId="2" applyFont="1" applyFill="1" applyBorder="1" applyAlignment="1">
      <alignment horizontal="center" vertical="center"/>
    </xf>
    <xf numFmtId="164" fontId="149" fillId="8" borderId="151" xfId="2" applyNumberFormat="1" applyFont="1" applyFill="1" applyBorder="1" applyAlignment="1" applyProtection="1">
      <alignment horizontal="left" vertical="center" indent="1"/>
      <protection locked="0"/>
    </xf>
    <xf numFmtId="0" fontId="124" fillId="34" borderId="132" xfId="2" applyFont="1" applyFill="1" applyBorder="1" applyAlignment="1">
      <alignment horizontal="center" vertical="center" wrapText="1"/>
    </xf>
    <xf numFmtId="0" fontId="124" fillId="34" borderId="88" xfId="2" applyFont="1" applyFill="1" applyBorder="1" applyAlignment="1">
      <alignment horizontal="center" vertical="center" wrapText="1"/>
    </xf>
    <xf numFmtId="0" fontId="124" fillId="34" borderId="112" xfId="2" applyFont="1" applyFill="1" applyBorder="1" applyAlignment="1">
      <alignment horizontal="center" vertical="center" wrapText="1"/>
    </xf>
    <xf numFmtId="0" fontId="38" fillId="31" borderId="90" xfId="2" applyFont="1" applyFill="1" applyBorder="1" applyAlignment="1">
      <alignment horizontal="center" vertical="center" readingOrder="1"/>
    </xf>
    <xf numFmtId="0" fontId="38" fillId="31" borderId="91" xfId="2" applyFont="1" applyFill="1" applyBorder="1" applyAlignment="1">
      <alignment horizontal="center" vertical="center" readingOrder="1"/>
    </xf>
    <xf numFmtId="0" fontId="38" fillId="31" borderId="92" xfId="2" applyFont="1" applyFill="1" applyBorder="1" applyAlignment="1">
      <alignment horizontal="center" vertical="center" readingOrder="1"/>
    </xf>
    <xf numFmtId="0" fontId="145" fillId="8" borderId="155" xfId="2" applyFont="1" applyFill="1" applyBorder="1" applyAlignment="1" applyProtection="1">
      <alignment horizontal="left" vertical="center" wrapText="1" indent="1"/>
      <protection locked="0"/>
    </xf>
    <xf numFmtId="0" fontId="116" fillId="0" borderId="110" xfId="2" applyFont="1" applyBorder="1" applyAlignment="1">
      <alignment horizontal="center" vertical="center"/>
    </xf>
    <xf numFmtId="0" fontId="116" fillId="0" borderId="73" xfId="2" applyFont="1" applyBorder="1" applyAlignment="1">
      <alignment horizontal="center" vertical="center"/>
    </xf>
    <xf numFmtId="0" fontId="116" fillId="0" borderId="0" xfId="2" applyFont="1" applyAlignment="1">
      <alignment horizontal="center" vertical="center"/>
    </xf>
    <xf numFmtId="49" fontId="149" fillId="0" borderId="150" xfId="2" quotePrefix="1" applyNumberFormat="1" applyFont="1" applyBorder="1" applyAlignment="1" applyProtection="1">
      <alignment horizontal="left" vertical="center" wrapText="1" indent="1"/>
      <protection locked="0"/>
    </xf>
    <xf numFmtId="49" fontId="149" fillId="0" borderId="163" xfId="2" quotePrefix="1" applyNumberFormat="1" applyFont="1" applyBorder="1" applyAlignment="1" applyProtection="1">
      <alignment horizontal="left" vertical="center" wrapText="1" indent="1"/>
      <protection locked="0"/>
    </xf>
    <xf numFmtId="0" fontId="13" fillId="20" borderId="80" xfId="2" applyFont="1" applyFill="1" applyBorder="1" applyAlignment="1">
      <alignment horizontal="center" vertical="center" readingOrder="1"/>
    </xf>
    <xf numFmtId="0" fontId="13" fillId="20" borderId="81" xfId="2" applyFont="1" applyFill="1" applyBorder="1" applyAlignment="1">
      <alignment horizontal="center" vertical="center" readingOrder="1"/>
    </xf>
    <xf numFmtId="169" fontId="149" fillId="0" borderId="88" xfId="2" quotePrefix="1" applyNumberFormat="1" applyFont="1" applyBorder="1" applyAlignment="1">
      <alignment horizontal="left" vertical="center" indent="1"/>
    </xf>
    <xf numFmtId="0" fontId="106" fillId="8" borderId="171" xfId="0" applyFont="1" applyFill="1" applyBorder="1" applyAlignment="1" applyProtection="1">
      <alignment horizontal="left" vertical="center" wrapText="1"/>
      <protection locked="0"/>
    </xf>
    <xf numFmtId="0" fontId="106" fillId="8" borderId="165" xfId="0" applyFont="1" applyFill="1" applyBorder="1" applyAlignment="1" applyProtection="1">
      <alignment horizontal="left" vertical="center" wrapText="1"/>
      <protection locked="0"/>
    </xf>
    <xf numFmtId="0" fontId="109" fillId="18" borderId="95" xfId="2" applyFont="1" applyFill="1" applyBorder="1" applyAlignment="1">
      <alignment horizontal="center" vertical="center" wrapText="1"/>
    </xf>
    <xf numFmtId="0" fontId="109" fillId="18" borderId="123" xfId="2" applyFont="1" applyFill="1" applyBorder="1" applyAlignment="1">
      <alignment horizontal="center" vertical="center" wrapText="1"/>
    </xf>
    <xf numFmtId="0" fontId="121" fillId="18" borderId="158" xfId="2" applyFont="1" applyFill="1" applyBorder="1" applyAlignment="1">
      <alignment horizontal="right" vertical="center" wrapText="1" indent="1"/>
    </xf>
    <xf numFmtId="0" fontId="121" fillId="18" borderId="86" xfId="2" applyFont="1" applyFill="1" applyBorder="1" applyAlignment="1">
      <alignment horizontal="right" vertical="center" wrapText="1" indent="1"/>
    </xf>
    <xf numFmtId="164" fontId="115" fillId="8" borderId="0" xfId="2" applyNumberFormat="1" applyFont="1" applyFill="1" applyAlignment="1">
      <alignment horizontal="center" vertical="center"/>
    </xf>
    <xf numFmtId="49" fontId="38" fillId="8" borderId="81" xfId="2" applyNumberFormat="1" applyFont="1" applyFill="1" applyBorder="1" applyAlignment="1" applyProtection="1">
      <alignment horizontal="right" vertical="center" wrapText="1" readingOrder="2"/>
      <protection locked="0"/>
    </xf>
    <xf numFmtId="49" fontId="38" fillId="8" borderId="0" xfId="2" applyNumberFormat="1" applyFont="1" applyFill="1" applyAlignment="1" applyProtection="1">
      <alignment horizontal="right" vertical="center" wrapText="1" readingOrder="2"/>
      <protection locked="0"/>
    </xf>
    <xf numFmtId="49" fontId="38" fillId="8" borderId="88" xfId="2" applyNumberFormat="1" applyFont="1" applyFill="1" applyBorder="1" applyAlignment="1" applyProtection="1">
      <alignment horizontal="right" vertical="center" wrapText="1" readingOrder="2"/>
      <protection locked="0"/>
    </xf>
    <xf numFmtId="49" fontId="38" fillId="8" borderId="82" xfId="2" applyNumberFormat="1" applyFont="1" applyFill="1" applyBorder="1" applyAlignment="1" applyProtection="1">
      <alignment horizontal="right" vertical="center" wrapText="1" readingOrder="2"/>
      <protection locked="0"/>
    </xf>
    <xf numFmtId="49" fontId="38" fillId="8" borderId="121" xfId="2" applyNumberFormat="1" applyFont="1" applyFill="1" applyBorder="1" applyAlignment="1" applyProtection="1">
      <alignment horizontal="right" vertical="center" wrapText="1" readingOrder="2"/>
      <protection locked="0"/>
    </xf>
    <xf numFmtId="49" fontId="38" fillId="8" borderId="112" xfId="2" applyNumberFormat="1" applyFont="1" applyFill="1" applyBorder="1" applyAlignment="1" applyProtection="1">
      <alignment horizontal="right" vertical="center" wrapText="1" readingOrder="2"/>
      <protection locked="0"/>
    </xf>
    <xf numFmtId="164" fontId="38" fillId="18" borderId="80" xfId="2" applyNumberFormat="1" applyFont="1" applyFill="1" applyBorder="1" applyAlignment="1">
      <alignment horizontal="center" vertical="center" wrapText="1"/>
    </xf>
    <xf numFmtId="164" fontId="38" fillId="18" borderId="81" xfId="2" applyNumberFormat="1" applyFont="1" applyFill="1" applyBorder="1" applyAlignment="1">
      <alignment horizontal="center" vertical="center" wrapText="1"/>
    </xf>
    <xf numFmtId="164" fontId="38" fillId="18" borderId="72" xfId="2" applyNumberFormat="1" applyFont="1" applyFill="1" applyBorder="1" applyAlignment="1">
      <alignment horizontal="center" vertical="center" wrapText="1"/>
    </xf>
    <xf numFmtId="164" fontId="38" fillId="18" borderId="0" xfId="2" applyNumberFormat="1" applyFont="1" applyFill="1" applyAlignment="1">
      <alignment horizontal="center" vertical="center" wrapText="1"/>
    </xf>
    <xf numFmtId="164" fontId="38" fillId="18" borderId="87" xfId="2" applyNumberFormat="1" applyFont="1" applyFill="1" applyBorder="1" applyAlignment="1">
      <alignment horizontal="center" vertical="center" wrapText="1"/>
    </xf>
    <xf numFmtId="164" fontId="38" fillId="18" borderId="88" xfId="2" applyNumberFormat="1" applyFont="1" applyFill="1" applyBorder="1" applyAlignment="1">
      <alignment horizontal="center" vertical="center" wrapText="1"/>
    </xf>
    <xf numFmtId="164" fontId="38" fillId="18" borderId="79" xfId="2" applyNumberFormat="1" applyFont="1" applyFill="1" applyBorder="1" applyAlignment="1">
      <alignment horizontal="center" vertical="center" wrapText="1"/>
    </xf>
    <xf numFmtId="164" fontId="38" fillId="18" borderId="122" xfId="2" applyNumberFormat="1" applyFont="1" applyFill="1" applyBorder="1" applyAlignment="1">
      <alignment horizontal="center" vertical="center" wrapText="1"/>
    </xf>
    <xf numFmtId="164" fontId="38" fillId="18" borderId="83" xfId="2" applyNumberFormat="1" applyFont="1" applyFill="1" applyBorder="1" applyAlignment="1">
      <alignment horizontal="center" vertical="center" wrapText="1"/>
    </xf>
    <xf numFmtId="164" fontId="38" fillId="18" borderId="65" xfId="2" applyNumberFormat="1" applyFont="1" applyFill="1" applyBorder="1" applyAlignment="1">
      <alignment horizontal="center" vertical="center" wrapText="1"/>
    </xf>
    <xf numFmtId="164" fontId="97" fillId="18" borderId="84" xfId="2" applyNumberFormat="1" applyFont="1" applyFill="1" applyBorder="1" applyAlignment="1">
      <alignment horizontal="center" vertical="center" wrapText="1"/>
    </xf>
    <xf numFmtId="164" fontId="97" fillId="18" borderId="124" xfId="2" applyNumberFormat="1" applyFont="1" applyFill="1" applyBorder="1" applyAlignment="1">
      <alignment horizontal="center" vertical="center" wrapText="1"/>
    </xf>
    <xf numFmtId="164" fontId="18" fillId="18" borderId="79" xfId="2" applyNumberFormat="1" applyFont="1" applyFill="1" applyBorder="1" applyAlignment="1">
      <alignment horizontal="center" vertical="center" wrapText="1"/>
    </xf>
    <xf numFmtId="164" fontId="18" fillId="18" borderId="83" xfId="2" applyNumberFormat="1" applyFont="1" applyFill="1" applyBorder="1" applyAlignment="1">
      <alignment horizontal="center" vertical="center" wrapText="1"/>
    </xf>
    <xf numFmtId="164" fontId="18" fillId="18" borderId="84" xfId="2" applyNumberFormat="1" applyFont="1" applyFill="1" applyBorder="1" applyAlignment="1">
      <alignment horizontal="center" vertical="center" wrapText="1"/>
    </xf>
    <xf numFmtId="164" fontId="18" fillId="8" borderId="0" xfId="2" applyNumberFormat="1" applyFont="1" applyFill="1" applyAlignment="1">
      <alignment horizontal="center" vertical="center" wrapText="1"/>
    </xf>
    <xf numFmtId="0" fontId="91" fillId="8" borderId="120" xfId="2" applyFont="1" applyFill="1" applyBorder="1" applyAlignment="1">
      <alignment horizontal="center" vertical="center"/>
    </xf>
    <xf numFmtId="0" fontId="91" fillId="8" borderId="121" xfId="2" applyFont="1" applyFill="1" applyBorder="1" applyAlignment="1">
      <alignment horizontal="center" vertical="center"/>
    </xf>
    <xf numFmtId="0" fontId="146" fillId="8" borderId="192" xfId="0" applyFont="1" applyFill="1" applyBorder="1" applyAlignment="1">
      <alignment horizontal="left" vertical="center" wrapText="1"/>
    </xf>
    <xf numFmtId="0" fontId="146" fillId="8" borderId="173" xfId="0" applyFont="1" applyFill="1" applyBorder="1" applyAlignment="1">
      <alignment horizontal="left" vertical="center" wrapText="1"/>
    </xf>
    <xf numFmtId="0" fontId="146" fillId="8" borderId="174" xfId="0" applyFont="1" applyFill="1" applyBorder="1" applyAlignment="1">
      <alignment horizontal="left" vertical="center" wrapText="1"/>
    </xf>
    <xf numFmtId="0" fontId="148" fillId="20" borderId="69" xfId="2" applyFont="1" applyFill="1" applyBorder="1" applyAlignment="1">
      <alignment horizontal="center" vertical="center" wrapText="1" readingOrder="1"/>
    </xf>
    <xf numFmtId="0" fontId="148" fillId="20" borderId="70" xfId="2" applyFont="1" applyFill="1" applyBorder="1" applyAlignment="1">
      <alignment horizontal="center" vertical="center" wrapText="1" readingOrder="1"/>
    </xf>
    <xf numFmtId="9" fontId="28" fillId="8" borderId="150" xfId="2" applyNumberFormat="1" applyFont="1" applyFill="1" applyBorder="1" applyAlignment="1" applyProtection="1">
      <alignment horizontal="center" vertical="center" wrapText="1"/>
      <protection locked="0"/>
    </xf>
    <xf numFmtId="0" fontId="28" fillId="8" borderId="150" xfId="2" applyFont="1" applyFill="1" applyBorder="1" applyAlignment="1" applyProtection="1">
      <alignment horizontal="center" vertical="center" wrapText="1"/>
      <protection locked="0"/>
    </xf>
    <xf numFmtId="0" fontId="28" fillId="8" borderId="152" xfId="2" applyFont="1" applyFill="1" applyBorder="1" applyAlignment="1" applyProtection="1">
      <alignment horizontal="center" vertical="center" wrapText="1"/>
      <protection locked="0"/>
    </xf>
    <xf numFmtId="2" fontId="28" fillId="8" borderId="150" xfId="2" applyNumberFormat="1" applyFont="1" applyFill="1" applyBorder="1" applyAlignment="1" applyProtection="1">
      <alignment horizontal="center" vertical="center" wrapText="1"/>
      <protection locked="0"/>
    </xf>
    <xf numFmtId="2" fontId="28" fillId="8" borderId="152" xfId="2" applyNumberFormat="1" applyFont="1" applyFill="1" applyBorder="1" applyAlignment="1" applyProtection="1">
      <alignment horizontal="center" vertical="center" wrapText="1"/>
      <protection locked="0"/>
    </xf>
    <xf numFmtId="0" fontId="28" fillId="8" borderId="149" xfId="2" applyFont="1" applyFill="1" applyBorder="1" applyAlignment="1" applyProtection="1">
      <alignment horizontal="center" vertical="center" wrapText="1"/>
      <protection locked="0"/>
    </xf>
    <xf numFmtId="0" fontId="28" fillId="8" borderId="153" xfId="2" applyFont="1" applyFill="1" applyBorder="1" applyAlignment="1" applyProtection="1">
      <alignment horizontal="center" vertical="center" wrapText="1"/>
      <protection locked="0"/>
    </xf>
    <xf numFmtId="0" fontId="148" fillId="20" borderId="72" xfId="2" applyFont="1" applyFill="1" applyBorder="1" applyAlignment="1">
      <alignment horizontal="center" vertical="center" wrapText="1" readingOrder="1"/>
    </xf>
    <xf numFmtId="0" fontId="148" fillId="20" borderId="0" xfId="2" applyFont="1" applyFill="1" applyAlignment="1">
      <alignment horizontal="center" vertical="center" wrapText="1" readingOrder="1"/>
    </xf>
    <xf numFmtId="169" fontId="133" fillId="0" borderId="175" xfId="2" quotePrefix="1" applyNumberFormat="1" applyFont="1" applyBorder="1" applyAlignment="1">
      <alignment horizontal="center" vertical="center"/>
    </xf>
    <xf numFmtId="169" fontId="133" fillId="0" borderId="174" xfId="2" quotePrefix="1" applyNumberFormat="1" applyFont="1" applyBorder="1" applyAlignment="1">
      <alignment horizontal="center" vertical="center"/>
    </xf>
    <xf numFmtId="169" fontId="149" fillId="0" borderId="150" xfId="2" quotePrefix="1" applyNumberFormat="1" applyFont="1" applyBorder="1" applyAlignment="1">
      <alignment horizontal="left" vertical="center" indent="1"/>
    </xf>
    <xf numFmtId="169" fontId="149" fillId="0" borderId="148" xfId="2" quotePrefix="1" applyNumberFormat="1" applyFont="1" applyBorder="1" applyAlignment="1">
      <alignment horizontal="left" vertical="center" indent="1"/>
    </xf>
    <xf numFmtId="169" fontId="149" fillId="0" borderId="0" xfId="2" quotePrefix="1" applyNumberFormat="1" applyFont="1" applyAlignment="1">
      <alignment horizontal="left" vertical="center" indent="1"/>
    </xf>
    <xf numFmtId="0" fontId="133" fillId="8" borderId="169" xfId="0" applyFont="1" applyFill="1" applyBorder="1" applyAlignment="1">
      <alignment horizontal="left" vertical="center" wrapText="1"/>
    </xf>
    <xf numFmtId="0" fontId="149" fillId="0" borderId="150" xfId="2" applyFont="1" applyBorder="1" applyAlignment="1">
      <alignment horizontal="center" vertical="center"/>
    </xf>
    <xf numFmtId="169" fontId="149" fillId="0" borderId="149" xfId="2" quotePrefix="1" applyNumberFormat="1" applyFont="1" applyBorder="1" applyAlignment="1">
      <alignment horizontal="center" vertical="center"/>
    </xf>
    <xf numFmtId="170" fontId="149" fillId="30" borderId="157" xfId="0" applyNumberFormat="1" applyFont="1" applyFill="1" applyBorder="1" applyAlignment="1" applyProtection="1">
      <alignment horizontal="left" vertical="center" wrapText="1" indent="1"/>
      <protection locked="0"/>
    </xf>
    <xf numFmtId="170" fontId="149" fillId="30" borderId="150" xfId="0" applyNumberFormat="1" applyFont="1" applyFill="1" applyBorder="1" applyAlignment="1" applyProtection="1">
      <alignment horizontal="left" vertical="center" wrapText="1" indent="1"/>
      <protection locked="0"/>
    </xf>
    <xf numFmtId="170" fontId="149" fillId="30" borderId="152" xfId="0" applyNumberFormat="1" applyFont="1" applyFill="1" applyBorder="1" applyAlignment="1" applyProtection="1">
      <alignment horizontal="left" vertical="center" wrapText="1" indent="1"/>
      <protection locked="0"/>
    </xf>
    <xf numFmtId="170" fontId="149" fillId="30" borderId="164" xfId="0" applyNumberFormat="1" applyFont="1" applyFill="1" applyBorder="1" applyAlignment="1" applyProtection="1">
      <alignment horizontal="left" vertical="center" wrapText="1" indent="1"/>
      <protection locked="0"/>
    </xf>
    <xf numFmtId="170" fontId="149" fillId="30" borderId="149" xfId="0" applyNumberFormat="1" applyFont="1" applyFill="1" applyBorder="1" applyAlignment="1" applyProtection="1">
      <alignment horizontal="left" vertical="center" wrapText="1" indent="1"/>
      <protection locked="0"/>
    </xf>
    <xf numFmtId="170" fontId="149" fillId="30" borderId="153" xfId="0" applyNumberFormat="1" applyFont="1" applyFill="1" applyBorder="1" applyAlignment="1" applyProtection="1">
      <alignment horizontal="left" vertical="center" wrapText="1" indent="1"/>
      <protection locked="0"/>
    </xf>
    <xf numFmtId="0" fontId="127" fillId="18" borderId="80" xfId="0" applyFont="1" applyFill="1" applyBorder="1" applyAlignment="1">
      <alignment horizontal="center" vertical="center" wrapText="1"/>
    </xf>
    <xf numFmtId="0" fontId="127" fillId="18" borderId="166" xfId="0" applyFont="1" applyFill="1" applyBorder="1" applyAlignment="1">
      <alignment horizontal="center" vertical="center" wrapText="1"/>
    </xf>
    <xf numFmtId="0" fontId="121" fillId="18" borderId="159" xfId="2" applyFont="1" applyFill="1" applyBorder="1" applyAlignment="1">
      <alignment horizontal="right" vertical="center" wrapText="1" indent="1"/>
    </xf>
    <xf numFmtId="0" fontId="121" fillId="18" borderId="67" xfId="2" applyFont="1" applyFill="1" applyBorder="1" applyAlignment="1">
      <alignment horizontal="right" vertical="center" wrapText="1" indent="1"/>
    </xf>
    <xf numFmtId="0" fontId="121" fillId="18" borderId="66" xfId="2" applyFont="1" applyFill="1" applyBorder="1" applyAlignment="1">
      <alignment horizontal="right" vertical="center" wrapText="1" indent="1"/>
    </xf>
    <xf numFmtId="0" fontId="127" fillId="18" borderId="81" xfId="0" applyFont="1" applyFill="1" applyBorder="1" applyAlignment="1">
      <alignment horizontal="center" vertical="center" wrapText="1"/>
    </xf>
    <xf numFmtId="0" fontId="148" fillId="20" borderId="87" xfId="2" applyFont="1" applyFill="1" applyBorder="1" applyAlignment="1">
      <alignment horizontal="center" vertical="center" wrapText="1" readingOrder="1"/>
    </xf>
    <xf numFmtId="0" fontId="148" fillId="20" borderId="88" xfId="2" applyFont="1" applyFill="1" applyBorder="1" applyAlignment="1">
      <alignment horizontal="center" vertical="center" wrapText="1" readingOrder="1"/>
    </xf>
    <xf numFmtId="170" fontId="149" fillId="30" borderId="156" xfId="0" applyNumberFormat="1" applyFont="1" applyFill="1" applyBorder="1" applyAlignment="1" applyProtection="1">
      <alignment horizontal="left" vertical="center" wrapText="1" indent="1"/>
      <protection locked="0"/>
    </xf>
    <xf numFmtId="0" fontId="149" fillId="0" borderId="157" xfId="2" applyFont="1" applyBorder="1" applyAlignment="1" applyProtection="1">
      <alignment horizontal="left" vertical="center" indent="1"/>
      <protection locked="0"/>
    </xf>
    <xf numFmtId="0" fontId="149" fillId="0" borderId="150" xfId="2" applyFont="1" applyBorder="1" applyAlignment="1" applyProtection="1">
      <alignment horizontal="left" vertical="center" indent="1"/>
      <protection locked="0"/>
    </xf>
    <xf numFmtId="0" fontId="149" fillId="0" borderId="152" xfId="2" applyFont="1" applyBorder="1" applyAlignment="1" applyProtection="1">
      <alignment horizontal="left" vertical="center" indent="1"/>
      <protection locked="0"/>
    </xf>
    <xf numFmtId="49" fontId="149" fillId="0" borderId="156" xfId="2" applyNumberFormat="1" applyFont="1" applyBorder="1" applyAlignment="1" applyProtection="1">
      <alignment horizontal="left" vertical="center" wrapText="1" indent="1"/>
      <protection locked="0"/>
    </xf>
    <xf numFmtId="49" fontId="149" fillId="0" borderId="150" xfId="2" applyNumberFormat="1" applyFont="1" applyBorder="1" applyAlignment="1" applyProtection="1">
      <alignment horizontal="left" vertical="center" wrapText="1" indent="1"/>
      <protection locked="0"/>
    </xf>
    <xf numFmtId="49" fontId="149" fillId="0" borderId="152" xfId="2" applyNumberFormat="1" applyFont="1" applyBorder="1" applyAlignment="1" applyProtection="1">
      <alignment horizontal="left" vertical="center" wrapText="1" indent="1"/>
      <protection locked="0"/>
    </xf>
    <xf numFmtId="164" fontId="121" fillId="18" borderId="161" xfId="2" applyNumberFormat="1" applyFont="1" applyFill="1" applyBorder="1" applyAlignment="1">
      <alignment horizontal="right" vertical="center" wrapText="1" indent="1"/>
    </xf>
    <xf numFmtId="164" fontId="121" fillId="18" borderId="115" xfId="2" applyNumberFormat="1" applyFont="1" applyFill="1" applyBorder="1" applyAlignment="1">
      <alignment horizontal="right" vertical="center" wrapText="1" indent="1"/>
    </xf>
    <xf numFmtId="164" fontId="121" fillId="18" borderId="116" xfId="2" applyNumberFormat="1" applyFont="1" applyFill="1" applyBorder="1" applyAlignment="1">
      <alignment horizontal="right" vertical="center" wrapText="1" indent="1"/>
    </xf>
    <xf numFmtId="0" fontId="121" fillId="18" borderId="162" xfId="2" applyFont="1" applyFill="1" applyBorder="1" applyAlignment="1">
      <alignment horizontal="right" vertical="center" wrapText="1" indent="1"/>
    </xf>
    <xf numFmtId="0" fontId="121" fillId="18" borderId="74" xfId="2" applyFont="1" applyFill="1" applyBorder="1" applyAlignment="1">
      <alignment horizontal="right" vertical="center" wrapText="1" indent="1"/>
    </xf>
    <xf numFmtId="0" fontId="121" fillId="18" borderId="77" xfId="2" applyFont="1" applyFill="1" applyBorder="1" applyAlignment="1">
      <alignment horizontal="right" vertical="center" wrapText="1" indent="1"/>
    </xf>
    <xf numFmtId="164" fontId="121" fillId="18" borderId="160" xfId="2" applyNumberFormat="1" applyFont="1" applyFill="1" applyBorder="1" applyAlignment="1">
      <alignment horizontal="right" vertical="center" wrapText="1" indent="1"/>
    </xf>
    <xf numFmtId="164" fontId="121" fillId="18" borderId="76" xfId="2" applyNumberFormat="1" applyFont="1" applyFill="1" applyBorder="1" applyAlignment="1">
      <alignment horizontal="right" vertical="center" wrapText="1" indent="1"/>
    </xf>
    <xf numFmtId="164" fontId="121" fillId="18" borderId="75" xfId="2" applyNumberFormat="1" applyFont="1" applyFill="1" applyBorder="1" applyAlignment="1">
      <alignment horizontal="right" vertical="center" wrapText="1" indent="1"/>
    </xf>
    <xf numFmtId="0" fontId="121" fillId="18" borderId="146" xfId="2" applyFont="1" applyFill="1" applyBorder="1" applyAlignment="1">
      <alignment horizontal="right" vertical="center" wrapText="1" indent="1"/>
    </xf>
    <xf numFmtId="49" fontId="149" fillId="0" borderId="150" xfId="2" quotePrefix="1" applyNumberFormat="1" applyFont="1" applyBorder="1" applyAlignment="1" applyProtection="1">
      <alignment horizontal="left" vertical="center" wrapText="1"/>
      <protection locked="0"/>
    </xf>
    <xf numFmtId="0" fontId="110" fillId="18" borderId="126" xfId="2" applyFont="1" applyFill="1" applyBorder="1" applyAlignment="1">
      <alignment horizontal="center" vertical="center" wrapText="1" readingOrder="1"/>
    </xf>
    <xf numFmtId="0" fontId="110" fillId="18" borderId="98" xfId="2" applyFont="1" applyFill="1" applyBorder="1" applyAlignment="1">
      <alignment horizontal="center" vertical="center" readingOrder="1"/>
    </xf>
    <xf numFmtId="0" fontId="110" fillId="18" borderId="100" xfId="2" applyFont="1" applyFill="1" applyBorder="1" applyAlignment="1">
      <alignment horizontal="center" vertical="center" readingOrder="1"/>
    </xf>
    <xf numFmtId="0" fontId="124" fillId="34" borderId="103" xfId="2" applyFont="1" applyFill="1" applyBorder="1" applyAlignment="1">
      <alignment horizontal="center" vertical="center" wrapText="1"/>
    </xf>
    <xf numFmtId="0" fontId="124" fillId="34" borderId="104" xfId="2" applyFont="1" applyFill="1" applyBorder="1" applyAlignment="1">
      <alignment horizontal="center" vertical="center"/>
    </xf>
    <xf numFmtId="0" fontId="124" fillId="34" borderId="105" xfId="2" applyFont="1" applyFill="1" applyBorder="1" applyAlignment="1">
      <alignment horizontal="center" vertical="center"/>
    </xf>
    <xf numFmtId="0" fontId="113" fillId="8" borderId="0" xfId="2" applyFont="1" applyFill="1" applyAlignment="1">
      <alignment horizontal="center" vertical="center"/>
    </xf>
    <xf numFmtId="0" fontId="135" fillId="0" borderId="85" xfId="2" applyFont="1" applyBorder="1" applyAlignment="1" applyProtection="1">
      <alignment horizontal="right" vertical="center" wrapText="1"/>
      <protection locked="0"/>
    </xf>
    <xf numFmtId="0" fontId="135" fillId="0" borderId="86" xfId="2" applyFont="1" applyBorder="1" applyAlignment="1" applyProtection="1">
      <alignment horizontal="right" vertical="center" wrapText="1"/>
      <protection locked="0"/>
    </xf>
    <xf numFmtId="0" fontId="135" fillId="0" borderId="89" xfId="2" applyFont="1" applyBorder="1" applyAlignment="1" applyProtection="1">
      <alignment horizontal="right" vertical="center" wrapText="1"/>
      <protection locked="0"/>
    </xf>
    <xf numFmtId="169" fontId="133" fillId="0" borderId="196" xfId="2" quotePrefix="1" applyNumberFormat="1" applyFont="1" applyBorder="1" applyAlignment="1">
      <alignment horizontal="center" vertical="center"/>
    </xf>
    <xf numFmtId="169" fontId="133" fillId="0" borderId="195" xfId="2" quotePrefix="1" applyNumberFormat="1" applyFont="1" applyBorder="1" applyAlignment="1">
      <alignment horizontal="center" vertical="center"/>
    </xf>
    <xf numFmtId="0" fontId="127" fillId="18" borderId="125" xfId="0" applyFont="1" applyFill="1" applyBorder="1" applyAlignment="1">
      <alignment horizontal="center" vertical="center" wrapText="1"/>
    </xf>
    <xf numFmtId="0" fontId="146" fillId="8" borderId="193" xfId="0" applyFont="1" applyFill="1" applyBorder="1" applyAlignment="1">
      <alignment horizontal="left" vertical="center" wrapText="1"/>
    </xf>
    <xf numFmtId="0" fontId="146" fillId="8" borderId="194" xfId="0" applyFont="1" applyFill="1" applyBorder="1" applyAlignment="1">
      <alignment horizontal="left" vertical="center" wrapText="1"/>
    </xf>
    <xf numFmtId="0" fontId="146" fillId="8" borderId="195" xfId="0" applyFont="1" applyFill="1" applyBorder="1" applyAlignment="1">
      <alignment horizontal="left" vertical="center" wrapText="1"/>
    </xf>
    <xf numFmtId="169" fontId="133" fillId="8" borderId="175" xfId="0" applyNumberFormat="1" applyFont="1" applyFill="1" applyBorder="1" applyAlignment="1">
      <alignment horizontal="center" vertical="center" wrapText="1"/>
    </xf>
    <xf numFmtId="169" fontId="133" fillId="8" borderId="174" xfId="0" applyNumberFormat="1" applyFont="1" applyFill="1" applyBorder="1" applyAlignment="1">
      <alignment horizontal="center" vertical="center" wrapText="1"/>
    </xf>
    <xf numFmtId="169" fontId="133" fillId="8" borderId="175" xfId="0" applyNumberFormat="1" applyFont="1" applyFill="1" applyBorder="1" applyAlignment="1" applyProtection="1">
      <alignment horizontal="center" vertical="center" wrapText="1"/>
      <protection locked="0"/>
    </xf>
    <xf numFmtId="169" fontId="133" fillId="8" borderId="174" xfId="0" applyNumberFormat="1" applyFont="1" applyFill="1" applyBorder="1" applyAlignment="1" applyProtection="1">
      <alignment horizontal="center" vertical="center" wrapText="1"/>
      <protection locked="0"/>
    </xf>
    <xf numFmtId="164" fontId="18" fillId="18" borderId="81" xfId="2" applyNumberFormat="1" applyFont="1" applyFill="1" applyBorder="1" applyAlignment="1">
      <alignment horizontal="center" vertical="center" wrapText="1" readingOrder="1"/>
    </xf>
    <xf numFmtId="164" fontId="18" fillId="18" borderId="0" xfId="2" applyNumberFormat="1" applyFont="1" applyFill="1" applyAlignment="1">
      <alignment horizontal="center" vertical="center" wrapText="1" readingOrder="1"/>
    </xf>
    <xf numFmtId="9" fontId="148" fillId="2" borderId="81" xfId="0" applyNumberFormat="1" applyFont="1" applyFill="1" applyBorder="1" applyAlignment="1" applyProtection="1">
      <alignment horizontal="center" vertical="center"/>
      <protection locked="0"/>
    </xf>
    <xf numFmtId="9" fontId="148" fillId="2" borderId="82" xfId="0" applyNumberFormat="1" applyFont="1" applyFill="1" applyBorder="1" applyAlignment="1" applyProtection="1">
      <alignment horizontal="center" vertical="center"/>
      <protection locked="0"/>
    </xf>
    <xf numFmtId="9" fontId="148" fillId="2" borderId="73" xfId="0" applyNumberFormat="1" applyFont="1" applyFill="1" applyBorder="1" applyAlignment="1" applyProtection="1">
      <alignment horizontal="center" vertical="center"/>
      <protection locked="0"/>
    </xf>
    <xf numFmtId="9" fontId="148" fillId="2" borderId="189" xfId="0" applyNumberFormat="1" applyFont="1" applyFill="1" applyBorder="1" applyAlignment="1" applyProtection="1">
      <alignment horizontal="center" vertical="center"/>
      <protection locked="0"/>
    </xf>
    <xf numFmtId="164" fontId="18" fillId="18" borderId="78" xfId="2" applyNumberFormat="1" applyFont="1" applyFill="1" applyBorder="1" applyAlignment="1">
      <alignment horizontal="center" vertical="center" wrapText="1" readingOrder="1"/>
    </xf>
    <xf numFmtId="9" fontId="148" fillId="0" borderId="70" xfId="2" applyNumberFormat="1" applyFont="1" applyBorder="1" applyAlignment="1" applyProtection="1">
      <alignment horizontal="center" vertical="center"/>
      <protection locked="0"/>
    </xf>
    <xf numFmtId="9" fontId="148" fillId="0" borderId="190" xfId="2" applyNumberFormat="1" applyFont="1" applyBorder="1" applyAlignment="1" applyProtection="1">
      <alignment horizontal="center" vertical="center"/>
      <protection locked="0"/>
    </xf>
    <xf numFmtId="9" fontId="148" fillId="0" borderId="73" xfId="2" applyNumberFormat="1" applyFont="1" applyBorder="1" applyAlignment="1" applyProtection="1">
      <alignment horizontal="center" vertical="center"/>
      <protection locked="0"/>
    </xf>
    <xf numFmtId="9" fontId="148" fillId="0" borderId="189" xfId="2" applyNumberFormat="1" applyFont="1" applyBorder="1" applyAlignment="1" applyProtection="1">
      <alignment horizontal="center" vertical="center"/>
      <protection locked="0"/>
    </xf>
    <xf numFmtId="164" fontId="18" fillId="18" borderId="191" xfId="2" applyNumberFormat="1" applyFont="1" applyFill="1" applyBorder="1" applyAlignment="1">
      <alignment horizontal="center" vertical="center" wrapText="1" readingOrder="1"/>
    </xf>
    <xf numFmtId="9" fontId="148" fillId="0" borderId="86" xfId="2" applyNumberFormat="1" applyFont="1" applyBorder="1" applyAlignment="1" applyProtection="1">
      <alignment horizontal="center" vertical="center"/>
      <protection locked="0"/>
    </xf>
    <xf numFmtId="9" fontId="148" fillId="0" borderId="89" xfId="2" applyNumberFormat="1" applyFont="1" applyBorder="1" applyAlignment="1" applyProtection="1">
      <alignment horizontal="center" vertical="center"/>
      <protection locked="0"/>
    </xf>
    <xf numFmtId="0" fontId="38" fillId="3" borderId="5" xfId="2" applyFont="1" applyFill="1" applyBorder="1" applyAlignment="1">
      <alignment horizontal="center" vertical="center"/>
    </xf>
    <xf numFmtId="165" fontId="37" fillId="8" borderId="0" xfId="2" applyNumberFormat="1" applyFont="1" applyFill="1" applyAlignment="1">
      <alignment horizontal="left" vertical="center"/>
    </xf>
    <xf numFmtId="165" fontId="37" fillId="8" borderId="8" xfId="2" applyNumberFormat="1" applyFont="1" applyFill="1" applyBorder="1" applyAlignment="1">
      <alignment horizontal="left" vertical="center"/>
    </xf>
    <xf numFmtId="165" fontId="37" fillId="8" borderId="0" xfId="2" applyNumberFormat="1" applyFont="1" applyFill="1" applyAlignment="1">
      <alignment horizontal="right" vertical="center"/>
    </xf>
    <xf numFmtId="165" fontId="37" fillId="8" borderId="8" xfId="2" applyNumberFormat="1" applyFont="1" applyFill="1" applyBorder="1" applyAlignment="1">
      <alignment horizontal="right" vertical="center"/>
    </xf>
    <xf numFmtId="165" fontId="23" fillId="8" borderId="0" xfId="2" applyNumberFormat="1" applyFont="1" applyFill="1" applyAlignment="1">
      <alignment horizontal="right" vertical="center"/>
    </xf>
    <xf numFmtId="0" fontId="84" fillId="0" borderId="0" xfId="2" applyFont="1" applyAlignment="1">
      <alignment horizontal="right" vertical="center" textRotation="90" wrapText="1"/>
    </xf>
    <xf numFmtId="0" fontId="84" fillId="0" borderId="0" xfId="2" applyFont="1" applyAlignment="1">
      <alignment horizontal="right" vertical="center" textRotation="90"/>
    </xf>
    <xf numFmtId="167" fontId="46" fillId="2" borderId="38" xfId="2" applyNumberFormat="1" applyFont="1" applyFill="1" applyBorder="1" applyAlignment="1">
      <alignment horizontal="right" vertical="center"/>
    </xf>
    <xf numFmtId="167" fontId="46" fillId="2" borderId="9" xfId="2" applyNumberFormat="1" applyFont="1" applyFill="1" applyBorder="1" applyAlignment="1">
      <alignment horizontal="right" vertical="center"/>
    </xf>
    <xf numFmtId="0" fontId="86" fillId="24" borderId="24" xfId="2" applyFont="1" applyFill="1" applyBorder="1" applyAlignment="1">
      <alignment horizontal="center" vertical="center"/>
    </xf>
    <xf numFmtId="0" fontId="86" fillId="24" borderId="25" xfId="2" applyFont="1" applyFill="1" applyBorder="1" applyAlignment="1">
      <alignment horizontal="center" vertical="center"/>
    </xf>
    <xf numFmtId="0" fontId="86" fillId="24" borderId="23" xfId="2" applyFont="1" applyFill="1" applyBorder="1" applyAlignment="1">
      <alignment horizontal="center" vertical="center"/>
    </xf>
    <xf numFmtId="0" fontId="86" fillId="24" borderId="19" xfId="2" applyFont="1" applyFill="1" applyBorder="1" applyAlignment="1">
      <alignment horizontal="center" vertical="center"/>
    </xf>
    <xf numFmtId="0" fontId="86" fillId="24" borderId="26" xfId="2" applyFont="1" applyFill="1" applyBorder="1" applyAlignment="1">
      <alignment horizontal="center" vertical="center"/>
    </xf>
    <xf numFmtId="0" fontId="86" fillId="24" borderId="27" xfId="2" applyFont="1" applyFill="1" applyBorder="1" applyAlignment="1">
      <alignment horizontal="center" vertical="center"/>
    </xf>
    <xf numFmtId="9" fontId="30" fillId="2" borderId="38" xfId="14" applyFont="1" applyFill="1" applyBorder="1" applyAlignment="1" applyProtection="1">
      <alignment horizontal="right" vertical="center"/>
    </xf>
    <xf numFmtId="9" fontId="30" fillId="2" borderId="9" xfId="14" applyFont="1" applyFill="1" applyBorder="1" applyAlignment="1" applyProtection="1">
      <alignment horizontal="right" vertical="center"/>
    </xf>
    <xf numFmtId="0" fontId="91" fillId="22" borderId="9" xfId="2" applyFont="1" applyFill="1" applyBorder="1" applyAlignment="1">
      <alignment horizontal="right" vertical="center"/>
    </xf>
    <xf numFmtId="164" fontId="74" fillId="25" borderId="0" xfId="2" applyNumberFormat="1" applyFont="1" applyFill="1" applyAlignment="1">
      <alignment horizontal="center" vertical="center"/>
    </xf>
    <xf numFmtId="0" fontId="78" fillId="20" borderId="9" xfId="2" applyFont="1" applyFill="1" applyBorder="1" applyAlignment="1">
      <alignment horizontal="center" vertical="center"/>
    </xf>
    <xf numFmtId="1" fontId="46" fillId="2" borderId="38" xfId="2" applyNumberFormat="1" applyFont="1" applyFill="1" applyBorder="1" applyAlignment="1">
      <alignment horizontal="right" vertical="top"/>
    </xf>
    <xf numFmtId="1" fontId="46" fillId="2" borderId="9" xfId="2" applyNumberFormat="1" applyFont="1" applyFill="1" applyBorder="1" applyAlignment="1">
      <alignment horizontal="right" vertical="top"/>
    </xf>
    <xf numFmtId="164" fontId="77" fillId="22" borderId="0" xfId="2" applyNumberFormat="1" applyFont="1" applyFill="1" applyAlignment="1">
      <alignment horizontal="center" vertical="center"/>
    </xf>
    <xf numFmtId="164" fontId="77" fillId="22" borderId="37" xfId="2" applyNumberFormat="1" applyFont="1" applyFill="1" applyBorder="1" applyAlignment="1">
      <alignment horizontal="center" vertical="center"/>
    </xf>
    <xf numFmtId="167" fontId="78" fillId="20" borderId="38" xfId="2" applyNumberFormat="1" applyFont="1" applyFill="1" applyBorder="1" applyAlignment="1">
      <alignment horizontal="center" vertical="center"/>
    </xf>
    <xf numFmtId="167" fontId="78" fillId="20" borderId="9" xfId="2" applyNumberFormat="1" applyFont="1" applyFill="1" applyBorder="1" applyAlignment="1">
      <alignment horizontal="center" vertical="center"/>
    </xf>
    <xf numFmtId="1" fontId="30" fillId="2" borderId="38" xfId="2" applyNumberFormat="1" applyFont="1" applyFill="1" applyBorder="1" applyAlignment="1">
      <alignment horizontal="right" vertical="top"/>
    </xf>
    <xf numFmtId="1" fontId="30" fillId="2" borderId="9" xfId="2" applyNumberFormat="1" applyFont="1" applyFill="1" applyBorder="1" applyAlignment="1">
      <alignment horizontal="right" vertical="top"/>
    </xf>
    <xf numFmtId="0" fontId="47" fillId="11" borderId="16" xfId="2" applyFont="1" applyFill="1" applyBorder="1" applyAlignment="1">
      <alignment horizontal="center" vertical="center"/>
    </xf>
    <xf numFmtId="164" fontId="53" fillId="10" borderId="0" xfId="2" applyNumberFormat="1" applyFont="1" applyFill="1" applyAlignment="1">
      <alignment horizontal="right" vertical="center"/>
    </xf>
    <xf numFmtId="164" fontId="53" fillId="10" borderId="15" xfId="2" applyNumberFormat="1" applyFont="1" applyFill="1" applyBorder="1" applyAlignment="1">
      <alignment horizontal="right" vertical="center"/>
    </xf>
    <xf numFmtId="0" fontId="53" fillId="10" borderId="18" xfId="0" applyFont="1" applyFill="1" applyBorder="1" applyAlignment="1">
      <alignment horizontal="right" vertical="center"/>
    </xf>
    <xf numFmtId="0" fontId="53" fillId="10" borderId="18" xfId="0" applyFont="1" applyFill="1" applyBorder="1" applyAlignment="1">
      <alignment horizontal="right" vertical="center" wrapText="1"/>
    </xf>
    <xf numFmtId="2" fontId="54" fillId="15" borderId="18" xfId="2" applyNumberFormat="1" applyFont="1" applyFill="1" applyBorder="1" applyAlignment="1">
      <alignment horizontal="left" vertical="center"/>
    </xf>
    <xf numFmtId="2" fontId="54" fillId="9" borderId="18" xfId="2" applyNumberFormat="1" applyFont="1" applyFill="1" applyBorder="1" applyAlignment="1">
      <alignment horizontal="left" vertical="center"/>
    </xf>
    <xf numFmtId="0" fontId="73" fillId="0" borderId="0" xfId="2" applyFont="1" applyAlignment="1">
      <alignment horizontal="left" vertical="center"/>
    </xf>
    <xf numFmtId="164" fontId="65" fillId="10" borderId="6" xfId="2" applyNumberFormat="1" applyFont="1" applyFill="1" applyBorder="1" applyAlignment="1">
      <alignment horizontal="center" vertical="center"/>
    </xf>
    <xf numFmtId="164" fontId="65" fillId="10" borderId="15" xfId="2" applyNumberFormat="1" applyFont="1" applyFill="1" applyBorder="1" applyAlignment="1">
      <alignment horizontal="center" vertical="center"/>
    </xf>
    <xf numFmtId="164" fontId="65" fillId="10" borderId="0" xfId="2" applyNumberFormat="1" applyFont="1" applyFill="1" applyAlignment="1">
      <alignment horizontal="right" vertical="center"/>
    </xf>
    <xf numFmtId="164" fontId="65" fillId="10" borderId="15" xfId="2" applyNumberFormat="1" applyFont="1" applyFill="1" applyBorder="1" applyAlignment="1">
      <alignment horizontal="right" vertical="center"/>
    </xf>
    <xf numFmtId="9" fontId="136" fillId="17" borderId="177" xfId="0" applyNumberFormat="1" applyFont="1" applyFill="1" applyBorder="1" applyAlignment="1">
      <alignment horizontal="center" vertical="center" wrapText="1"/>
    </xf>
    <xf numFmtId="0" fontId="136" fillId="17" borderId="177" xfId="0" applyFont="1" applyFill="1" applyBorder="1" applyAlignment="1">
      <alignment horizontal="center" vertical="center" wrapText="1"/>
    </xf>
    <xf numFmtId="168" fontId="136" fillId="17" borderId="168" xfId="0" applyNumberFormat="1" applyFont="1" applyFill="1" applyBorder="1" applyAlignment="1">
      <alignment horizontal="center" vertical="center" wrapText="1"/>
    </xf>
    <xf numFmtId="9" fontId="136" fillId="17" borderId="168" xfId="0" applyNumberFormat="1" applyFont="1" applyFill="1" applyBorder="1" applyAlignment="1">
      <alignment horizontal="center" vertical="center" wrapText="1"/>
    </xf>
    <xf numFmtId="168" fontId="136" fillId="17" borderId="183" xfId="0" applyNumberFormat="1" applyFont="1" applyFill="1" applyBorder="1" applyAlignment="1">
      <alignment horizontal="center" vertical="center" wrapText="1"/>
    </xf>
    <xf numFmtId="9" fontId="136" fillId="17" borderId="183" xfId="0" applyNumberFormat="1" applyFont="1" applyFill="1" applyBorder="1" applyAlignment="1">
      <alignment horizontal="center" vertical="center" wrapText="1"/>
    </xf>
  </cellXfs>
  <cellStyles count="35">
    <cellStyle name="Comma 16" xfId="15" xr:uid="{00000000-0005-0000-0000-000000000000}"/>
    <cellStyle name="Comma 16 2" xfId="16" xr:uid="{00000000-0005-0000-0000-000001000000}"/>
    <cellStyle name="Comma 2" xfId="17" xr:uid="{00000000-0005-0000-0000-000002000000}"/>
    <cellStyle name="Comma 3" xfId="18" xr:uid="{00000000-0005-0000-0000-000003000000}"/>
    <cellStyle name="Comma 4" xfId="19" xr:uid="{00000000-0005-0000-0000-000004000000}"/>
    <cellStyle name="Comma 5" xfId="20" xr:uid="{00000000-0005-0000-0000-000005000000}"/>
    <cellStyle name="Currency 2" xfId="6" xr:uid="{00000000-0005-0000-0000-000006000000}"/>
    <cellStyle name="Currency 2 2" xfId="13" xr:uid="{00000000-0005-0000-0000-000007000000}"/>
    <cellStyle name="Good2" xfId="26" xr:uid="{00000000-0005-0000-0000-000008000000}"/>
    <cellStyle name="Hyperlink 2" xfId="3" xr:uid="{00000000-0005-0000-0000-000009000000}"/>
    <cellStyle name="Hyperlink 3" xfId="21" xr:uid="{00000000-0005-0000-0000-00000A000000}"/>
    <cellStyle name="Normal" xfId="0" builtinId="0"/>
    <cellStyle name="Normal 15" xfId="22" xr:uid="{00000000-0005-0000-0000-00000C000000}"/>
    <cellStyle name="Normal 15 2" xfId="23" xr:uid="{00000000-0005-0000-0000-00000D000000}"/>
    <cellStyle name="Normal 2" xfId="2" xr:uid="{00000000-0005-0000-0000-00000E000000}"/>
    <cellStyle name="Normal 2 2" xfId="30" xr:uid="{00000000-0005-0000-0000-00000F000000}"/>
    <cellStyle name="Normal 3" xfId="5" xr:uid="{00000000-0005-0000-0000-000010000000}"/>
    <cellStyle name="Normal 4" xfId="4" xr:uid="{00000000-0005-0000-0000-000011000000}"/>
    <cellStyle name="Normal 4 2" xfId="11" xr:uid="{00000000-0005-0000-0000-000012000000}"/>
    <cellStyle name="Normal 4 2 2" xfId="27" xr:uid="{00000000-0005-0000-0000-000013000000}"/>
    <cellStyle name="Normal 5" xfId="10" xr:uid="{00000000-0005-0000-0000-000014000000}"/>
    <cellStyle name="Normal 5 2" xfId="28" xr:uid="{00000000-0005-0000-0000-000015000000}"/>
    <cellStyle name="Normal 6" xfId="1" xr:uid="{00000000-0005-0000-0000-000016000000}"/>
    <cellStyle name="Normal 7" xfId="25" xr:uid="{00000000-0005-0000-0000-000017000000}"/>
    <cellStyle name="Normal 8" xfId="29" xr:uid="{00000000-0005-0000-0000-000018000000}"/>
    <cellStyle name="Normal 9" xfId="32" xr:uid="{00000000-0005-0000-0000-000019000000}"/>
    <cellStyle name="Percent" xfId="34" builtinId="5"/>
    <cellStyle name="Percent 2" xfId="7" xr:uid="{00000000-0005-0000-0000-00001B000000}"/>
    <cellStyle name="Percent 3" xfId="8" xr:uid="{00000000-0005-0000-0000-00001C000000}"/>
    <cellStyle name="Percent 3 2" xfId="12" xr:uid="{00000000-0005-0000-0000-00001D000000}"/>
    <cellStyle name="Percent 4" xfId="9" xr:uid="{00000000-0005-0000-0000-00001E000000}"/>
    <cellStyle name="Percent 5" xfId="14" xr:uid="{00000000-0005-0000-0000-00001F000000}"/>
    <cellStyle name="Percent 5 2" xfId="33" xr:uid="{00000000-0005-0000-0000-000020000000}"/>
    <cellStyle name="Percent 6" xfId="31" xr:uid="{00000000-0005-0000-0000-000021000000}"/>
    <cellStyle name="Style 1" xfId="24" xr:uid="{00000000-0005-0000-0000-000022000000}"/>
  </cellStyles>
  <dxfs count="128">
    <dxf>
      <font>
        <color theme="1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8" formatCode="[$-409]d\-mmm\-yy;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solid">
          <fgColor theme="4" tint="0.59999389629810485"/>
          <bgColor theme="4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numFmt numFmtId="169" formatCode="[$SAR]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solid">
          <fgColor theme="4" tint="0.59999389629810485"/>
          <bgColor theme="4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numFmt numFmtId="168" formatCode="[$-409]d\-mmm\-yy;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solid">
          <fgColor theme="4" tint="0.59999389629810485"/>
          <bgColor theme="4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color theme="1"/>
      </font>
      <numFmt numFmtId="13" formatCode="0%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theme="4" tint="0.59999389629810485"/>
          <bgColor theme="4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numFmt numFmtId="168" formatCode="[$-409]d\-mmm\-yy;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[$-C09]dd\-mmm\-yy;@"/>
      <fill>
        <patternFill patternType="solid">
          <fgColor theme="4" tint="0.59999389629810485"/>
          <bgColor theme="4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numFmt numFmtId="168" formatCode="[$-409]d\-mmm\-yy;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[$-C09]dd\-mmm\-yy;@"/>
      <fill>
        <patternFill patternType="solid">
          <fgColor theme="4" tint="0.59999389629810485"/>
          <bgColor theme="4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numFmt numFmtId="30" formatCode="@"/>
      <fill>
        <patternFill patternType="solid">
          <fgColor indexed="64"/>
          <bgColor theme="5" tint="0.79998168889431442"/>
        </patternFill>
      </fill>
      <alignment horizontal="right" vertical="center" textRotation="0" wrapText="1" indent="0" justifyLastLine="0" shrinkToFit="0" readingOrder="2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right" vertical="center" textRotation="0" wrapText="1" indent="0" justifyLastLine="0" shrinkToFit="0" readingOrder="1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30" formatCode="@"/>
      <fill>
        <patternFill patternType="solid">
          <fgColor indexed="64"/>
          <bgColor theme="5" tint="0.79998168889431442"/>
        </patternFill>
      </fill>
      <alignment horizontal="right" vertical="center" textRotation="0" wrapText="1" indent="0" justifyLastLine="0" shrinkToFit="0" readingOrder="1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7" formatCode="[$-C09]dd\-mmm\-yy;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3" formatCode="0%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indexed="64"/>
        </top>
        <bottom style="medium">
          <color theme="9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3" formatCode="0%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indexed="64"/>
        </top>
        <bottom style="medium">
          <color theme="9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3" formatCode="0%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3" formatCode="0%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172" formatCode="#,##0;[Red]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2" formatCode="#,##0;[Red]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2" formatCode="#,##0;[Red]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2" formatCode="#,##0;[Red]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2" formatCode="#,##0;[Red]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8" formatCode="[$-409]d\-mmm\-yy;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8" formatCode="[$-409]d\-mmm\-yy;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8" formatCode="[$-409]d\-mmm\-yy;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theme="9" tint="-0.249977111117893"/>
        </right>
        <top style="medium">
          <color indexed="64"/>
        </top>
        <bottom style="medium">
          <color theme="9" tint="-0.249977111117893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outline val="0"/>
        <shadow val="0"/>
        <u val="none"/>
        <vertAlign val="baseline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outline val="0"/>
        <shadow val="0"/>
        <u val="none"/>
        <vertAlign val="baseline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FF00"/>
      </font>
      <fill>
        <patternFill>
          <bgColor theme="6" tint="-0.24994659260841701"/>
        </patternFill>
      </fill>
    </dxf>
    <dxf>
      <font>
        <b/>
        <i/>
        <color rgb="FFFFFF00"/>
      </font>
      <fill>
        <patternFill>
          <bgColor theme="6" tint="-0.24994659260841701"/>
        </patternFill>
      </fill>
    </dxf>
    <dxf>
      <font>
        <b/>
        <i/>
        <color rgb="FFFFFF00"/>
      </font>
      <fill>
        <patternFill>
          <bgColor theme="6" tint="-0.24994659260841701"/>
        </patternFill>
      </fill>
    </dxf>
    <dxf>
      <font>
        <b/>
        <i/>
        <color rgb="FFFFFF00"/>
      </font>
      <fill>
        <patternFill>
          <bgColor theme="6" tint="-0.24994659260841701"/>
        </patternFill>
      </fill>
    </dxf>
    <dxf>
      <font>
        <b/>
        <i/>
        <color rgb="FFFFFF00"/>
      </font>
      <fill>
        <patternFill>
          <bgColor theme="6" tint="-0.24994659260841701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color rgb="FFFF0000"/>
      </font>
    </dxf>
    <dxf>
      <font>
        <b val="0"/>
        <i/>
        <color theme="0" tint="-0.34998626667073579"/>
      </font>
    </dxf>
    <dxf>
      <font>
        <b val="0"/>
        <i/>
        <color theme="0" tint="-0.34998626667073579"/>
      </font>
    </dxf>
    <dxf>
      <font>
        <color rgb="FFFF0000"/>
      </font>
    </dxf>
  </dxfs>
  <tableStyles count="0" defaultTableStyle="TableStyleMedium9" defaultPivotStyle="PivotStyleLight16"/>
  <colors>
    <mruColors>
      <color rgb="FF303C18"/>
      <color rgb="FFFFFF99"/>
      <color rgb="FFFFFF66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view3D>
      <c:rotX val="50"/>
      <c:rotY val="140"/>
      <c:rAngAx val="0"/>
      <c:perspective val="17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8706228812371001E-2"/>
          <c:y val="7.4497023809523805E-2"/>
          <c:w val="0.90867582097680444"/>
          <c:h val="0.87616021825396817"/>
        </c:manualLayout>
      </c:layout>
      <c:pie3DChart>
        <c:varyColors val="1"/>
        <c:ser>
          <c:idx val="0"/>
          <c:order val="0"/>
          <c:tx>
            <c:v>Risks</c:v>
          </c:tx>
          <c:spPr>
            <a:ln>
              <a:noFill/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2BBC-49D8-916B-5209FCCB441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2BBC-49D8-916B-5209FCCB441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2BBC-49D8-916B-5209FCCB441E}"/>
              </c:ext>
            </c:extLst>
          </c:dPt>
          <c:dLbls>
            <c:dLbl>
              <c:idx val="0"/>
              <c:layout>
                <c:manualLayout>
                  <c:x val="0.16719518000559916"/>
                  <c:y val="-0.3365905163209663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BC-49D8-916B-5209FCCB441E}"/>
                </c:ext>
              </c:extLst>
            </c:dLbl>
            <c:dLbl>
              <c:idx val="2"/>
              <c:layout>
                <c:manualLayout>
                  <c:x val="-7.9826557730440437E-2"/>
                  <c:y val="1.163561275943268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BC-49D8-916B-5209FCCB44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'[2]Fill out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'[2]Fill out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BBC-49D8-916B-5209FCCB441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effectLst>
          <a:outerShdw blurRad="50800" dist="50800" dir="5400000" sx="1000" sy="1000" algn="ctr" rotWithShape="0">
            <a:srgbClr val="000000">
              <a:alpha val="98000"/>
            </a:srgbClr>
          </a:outerShdw>
        </a:effectLst>
        <a:scene3d>
          <a:camera prst="orthographicFront"/>
          <a:lightRig rig="threePt" dir="t"/>
        </a:scene3d>
        <a:sp3d prstMaterial="translucentPowder">
          <a:bevelT w="203200" h="50800" prst="softRound"/>
        </a:sp3d>
      </c:spPr>
    </c:plotArea>
    <c:legend>
      <c:legendPos val="r"/>
      <c:layout>
        <c:manualLayout>
          <c:xMode val="edge"/>
          <c:yMode val="edge"/>
          <c:x val="7.8942146547416686E-2"/>
          <c:y val="0.87710260355386616"/>
          <c:w val="0.89872908403680785"/>
          <c:h val="0.11884393761124687"/>
        </c:manualLayout>
      </c:layout>
      <c:overlay val="0"/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view3D>
      <c:rotX val="40"/>
      <c:rotY val="0"/>
      <c:rAngAx val="0"/>
      <c:perspective val="17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0019978675206978E-2"/>
          <c:y val="4.2665674603174601E-2"/>
          <c:w val="0.82415907266515476"/>
          <c:h val="0.828750496031746"/>
        </c:manualLayout>
      </c:layout>
      <c:pie3DChart>
        <c:varyColors val="1"/>
        <c:ser>
          <c:idx val="0"/>
          <c:order val="0"/>
          <c:tx>
            <c:v>Milestones</c:v>
          </c:tx>
          <c:explosion val="25"/>
          <c:dPt>
            <c:idx val="0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1-80BA-41AF-BEDD-C53623722BF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80BA-41AF-BEDD-C53623722BF8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80BA-41AF-BEDD-C53623722BF8}"/>
              </c:ext>
            </c:extLst>
          </c:dPt>
          <c:dPt>
            <c:idx val="3"/>
            <c:bubble3D val="0"/>
            <c:spPr>
              <a:solidFill>
                <a:sysClr val="window" lastClr="FFFFFF">
                  <a:lumMod val="85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07-80BA-41AF-BEDD-C53623722BF8}"/>
              </c:ext>
            </c:extLst>
          </c:dPt>
          <c:dLbls>
            <c:dLbl>
              <c:idx val="1"/>
              <c:layout>
                <c:manualLayout>
                  <c:x val="7.7227043183975663E-2"/>
                  <c:y val="-0.143138962349097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BA-41AF-BEDD-C53623722BF8}"/>
                </c:ext>
              </c:extLst>
            </c:dLbl>
            <c:dLbl>
              <c:idx val="2"/>
              <c:layout>
                <c:manualLayout>
                  <c:x val="1.7909952122588051E-2"/>
                  <c:y val="8.038956854748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BA-41AF-BEDD-C53623722B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'[2]Fill out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'[2]Fill out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0BA-41AF-BEDD-C53623722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4.2276390287645897E-2"/>
          <c:y val="0.64717210701163619"/>
          <c:w val="0.88875547883837502"/>
          <c:h val="0.21814782061306384"/>
        </c:manualLayout>
      </c:layout>
      <c:overlay val="0"/>
      <c:txPr>
        <a:bodyPr/>
        <a:lstStyle/>
        <a:p>
          <a:pPr rtl="0">
            <a:defRPr sz="900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view3D>
      <c:rotX val="50"/>
      <c:hPercent val="100"/>
      <c:rotY val="32"/>
      <c:depthPercent val="100"/>
      <c:rAngAx val="0"/>
      <c:perspective val="17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0839191979165261E-2"/>
          <c:y val="9.2666864725688261E-2"/>
          <c:w val="0.96254550852146203"/>
          <c:h val="0.83919786096256688"/>
        </c:manualLayout>
      </c:layout>
      <c:pie3DChart>
        <c:varyColors val="1"/>
        <c:ser>
          <c:idx val="0"/>
          <c:order val="0"/>
          <c:spPr>
            <a:ln>
              <a:noFill/>
            </a:ln>
          </c:spPr>
          <c:explosion val="13"/>
          <c:dPt>
            <c:idx val="0"/>
            <c:bubble3D val="0"/>
            <c:spPr>
              <a:solidFill>
                <a:srgbClr val="C0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11FE-4083-815A-BA83BDA5E1BC}"/>
              </c:ext>
            </c:extLst>
          </c:dPt>
          <c:dPt>
            <c:idx val="1"/>
            <c:bubble3D val="0"/>
            <c:spPr>
              <a:solidFill>
                <a:srgbClr val="F79646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11FE-4083-815A-BA83BDA5E1BC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11FE-4083-815A-BA83BDA5E1BC}"/>
              </c:ext>
            </c:extLst>
          </c:dPt>
          <c:dLbls>
            <c:dLbl>
              <c:idx val="0"/>
              <c:layout>
                <c:manualLayout>
                  <c:x val="-6.2502500491337418E-2"/>
                  <c:y val="-4.428980913407665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FE-4083-815A-BA83BDA5E1BC}"/>
                </c:ext>
              </c:extLst>
            </c:dLbl>
            <c:dLbl>
              <c:idx val="1"/>
              <c:layout>
                <c:manualLayout>
                  <c:x val="0.10300332055034907"/>
                  <c:y val="-0.1503517060367454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FE-4083-815A-BA83BDA5E1BC}"/>
                </c:ext>
              </c:extLst>
            </c:dLbl>
            <c:dLbl>
              <c:idx val="2"/>
              <c:layout>
                <c:manualLayout>
                  <c:x val="5.0989581310429757E-2"/>
                  <c:y val="6.370805765334233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1FE-4083-815A-BA83BDA5E1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'[2]Fill out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'[2]Fill out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11FE-4083-815A-BA83BDA5E1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1.500450747923612E-2"/>
          <c:y val="0.87658705161854777"/>
          <c:w val="0.96004477826438828"/>
          <c:h val="0.12341294838145232"/>
        </c:manualLayout>
      </c:layout>
      <c:overlay val="0"/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427860696517411E-2"/>
          <c:y val="0"/>
          <c:w val="0.92393756750555434"/>
          <c:h val="0.64438396656728592"/>
        </c:manualLayout>
      </c:layout>
      <c:barChart>
        <c:barDir val="bar"/>
        <c:grouping val="stacked"/>
        <c:varyColors val="0"/>
        <c:ser>
          <c:idx val="0"/>
          <c:order val="0"/>
          <c:tx>
            <c:v>% of Completion - Previous Period</c:v>
          </c:tx>
          <c:spPr>
            <a:effectLst>
              <a:outerShdw blurRad="76200" dist="12700" dir="2700000" sy="-23000" kx="-8004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9.6971053973704101E-3"/>
                  <c:y val="-6.230526538363665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635-42DC-A872-48A790720693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'[2]Fill out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5-42DC-A872-48A790720693}"/>
            </c:ext>
          </c:extLst>
        </c:ser>
        <c:ser>
          <c:idx val="1"/>
          <c:order val="1"/>
          <c:tx>
            <c:v>New % of Completion</c:v>
          </c:tx>
          <c:spPr>
            <a:solidFill>
              <a:schemeClr val="accent3"/>
            </a:solidFill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5598761055343174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35-42DC-A872-48A790720693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'[2]Fill out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35-42DC-A872-48A790720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3"/>
        <c:axId val="367069656"/>
        <c:axId val="367074360"/>
      </c:barChart>
      <c:catAx>
        <c:axId val="367069656"/>
        <c:scaling>
          <c:orientation val="minMax"/>
        </c:scaling>
        <c:delete val="1"/>
        <c:axPos val="l"/>
        <c:majorTickMark val="none"/>
        <c:minorTickMark val="none"/>
        <c:tickLblPos val="nextTo"/>
        <c:crossAx val="367074360"/>
        <c:crossesAt val="0"/>
        <c:auto val="1"/>
        <c:lblAlgn val="ctr"/>
        <c:lblOffset val="100"/>
        <c:noMultiLvlLbl val="0"/>
      </c:catAx>
      <c:valAx>
        <c:axId val="367074360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prstDash val="solid"/>
          </a:ln>
          <a:effectLst/>
        </c:spPr>
        <c:txPr>
          <a:bodyPr/>
          <a:lstStyle/>
          <a:p>
            <a:pPr>
              <a:defRPr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069656"/>
        <c:crosses val="autoZero"/>
        <c:crossBetween val="between"/>
        <c:majorUnit val="0.1"/>
      </c:valAx>
    </c:plotArea>
    <c:legend>
      <c:legendPos val="r"/>
      <c:layout>
        <c:manualLayout>
          <c:xMode val="edge"/>
          <c:yMode val="edge"/>
          <c:x val="0"/>
          <c:y val="0.8811186100921774"/>
          <c:w val="0.97695737084997081"/>
          <c:h val="0.11888138990782254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mailto:pmo@sama.gov.sa?subject=SAMA%20PMO%20%3e%20Reporting%20System%20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40821</xdr:colOff>
      <xdr:row>0</xdr:row>
      <xdr:rowOff>68036</xdr:rowOff>
    </xdr:from>
    <xdr:to>
      <xdr:col>1</xdr:col>
      <xdr:colOff>10589</xdr:colOff>
      <xdr:row>1</xdr:row>
      <xdr:rowOff>38159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1" y="68036"/>
          <a:ext cx="579368" cy="160623"/>
        </a:xfrm>
        <a:prstGeom prst="rect">
          <a:avLst/>
        </a:prstGeom>
      </xdr:spPr>
    </xdr:pic>
    <xdr:clientData/>
  </xdr:twoCellAnchor>
  <xdr:twoCellAnchor editAs="absolute">
    <xdr:from>
      <xdr:col>0</xdr:col>
      <xdr:colOff>41313</xdr:colOff>
      <xdr:row>6</xdr:row>
      <xdr:rowOff>93860</xdr:rowOff>
    </xdr:from>
    <xdr:to>
      <xdr:col>1</xdr:col>
      <xdr:colOff>61922</xdr:colOff>
      <xdr:row>7</xdr:row>
      <xdr:rowOff>161094</xdr:rowOff>
    </xdr:to>
    <xdr:pic>
      <xdr:nvPicPr>
        <xdr:cNvPr id="3" name="Picture 2">
          <a:hlinkClick xmlns:r="http://schemas.openxmlformats.org/officeDocument/2006/relationships" r:id="rId2" tooltip="SAMA PMO - Click here to send email to PMO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13" y="1236860"/>
          <a:ext cx="630209" cy="257734"/>
        </a:xfrm>
        <a:prstGeom prst="rect">
          <a:avLst/>
        </a:prstGeom>
      </xdr:spPr>
    </xdr:pic>
    <xdr:clientData/>
  </xdr:twoCellAnchor>
  <xdr:twoCellAnchor>
    <xdr:from>
      <xdr:col>5</xdr:col>
      <xdr:colOff>358589</xdr:colOff>
      <xdr:row>7</xdr:row>
      <xdr:rowOff>201705</xdr:rowOff>
    </xdr:from>
    <xdr:to>
      <xdr:col>12</xdr:col>
      <xdr:colOff>1400737</xdr:colOff>
      <xdr:row>25</xdr:row>
      <xdr:rowOff>89647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406589" y="1525680"/>
          <a:ext cx="4518773" cy="3326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AU" sz="2000" b="0" i="1" baseline="0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r>
            <a:rPr lang="en-AU" sz="2000" b="0" i="1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Dear Sir,</a:t>
          </a:r>
        </a:p>
        <a:p>
          <a:endParaRPr lang="en-AU" sz="2000" b="0" i="1" baseline="0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r>
            <a:rPr lang="en-AU" sz="2000" b="0" i="1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Welcome to SAMA PMO - PROJECT PROGRESS REPORT ( PPR ), </a:t>
          </a:r>
          <a:r>
            <a:rPr lang="en-AU" sz="2000" b="0" i="1" baseline="0">
              <a:solidFill>
                <a:schemeClr val="bg1">
                  <a:lumMod val="50000"/>
                </a:schemeClr>
              </a:solidFill>
            </a:rPr>
            <a:t>Kindly enable the </a:t>
          </a:r>
          <a:r>
            <a:rPr lang="en-AU" sz="2000" b="1" i="1" u="sng" baseline="0">
              <a:solidFill>
                <a:srgbClr val="00B050"/>
              </a:solidFill>
            </a:rPr>
            <a:t>Macros</a:t>
          </a:r>
          <a:r>
            <a:rPr lang="en-AU" sz="2000" b="0" i="1" baseline="0">
              <a:solidFill>
                <a:srgbClr val="00B050"/>
              </a:solidFill>
            </a:rPr>
            <a:t> </a:t>
          </a:r>
          <a:r>
            <a:rPr lang="en-AU" sz="2000" b="0" i="1" baseline="0">
              <a:solidFill>
                <a:schemeClr val="bg1">
                  <a:lumMod val="50000"/>
                </a:schemeClr>
              </a:solidFill>
            </a:rPr>
            <a:t>to run the file. You should use </a:t>
          </a:r>
          <a:r>
            <a:rPr lang="en-AU" sz="2000" b="1" i="1" u="sng" baseline="0">
              <a:solidFill>
                <a:srgbClr val="00B050"/>
              </a:solidFill>
            </a:rPr>
            <a:t>MS Office 2010</a:t>
          </a:r>
          <a:r>
            <a:rPr lang="en-AU" sz="2000" b="0" i="1" baseline="0">
              <a:solidFill>
                <a:srgbClr val="00B050"/>
              </a:solidFill>
            </a:rPr>
            <a:t> </a:t>
          </a:r>
          <a:r>
            <a:rPr lang="en-AU" sz="2000" b="0" i="1" baseline="0">
              <a:solidFill>
                <a:schemeClr val="bg1">
                  <a:lumMod val="50000"/>
                </a:schemeClr>
              </a:solidFill>
            </a:rPr>
            <a:t>to run this system with full functionality.</a:t>
          </a:r>
        </a:p>
        <a:p>
          <a:endParaRPr lang="en-AU" sz="2000" b="0" i="1" baseline="0">
            <a:solidFill>
              <a:schemeClr val="bg1">
                <a:lumMod val="50000"/>
              </a:schemeClr>
            </a:solidFill>
          </a:endParaRPr>
        </a:p>
        <a:p>
          <a:r>
            <a:rPr lang="en-AU" sz="2000" b="0" i="1" baseline="0">
              <a:solidFill>
                <a:schemeClr val="bg1">
                  <a:lumMod val="50000"/>
                </a:schemeClr>
              </a:solidFill>
            </a:rPr>
            <a:t>To run macros , click on "</a:t>
          </a:r>
          <a:r>
            <a:rPr lang="en-AU" sz="2000" b="1" i="1" baseline="0">
              <a:solidFill>
                <a:srgbClr val="00B050"/>
              </a:solidFill>
            </a:rPr>
            <a:t>Enable Content</a:t>
          </a:r>
          <a:r>
            <a:rPr lang="en-AU" sz="2000" b="0" i="1" baseline="0">
              <a:solidFill>
                <a:schemeClr val="bg1">
                  <a:lumMod val="50000"/>
                </a:schemeClr>
              </a:solidFill>
            </a:rPr>
            <a:t>"  in the yellow bar.</a:t>
          </a:r>
        </a:p>
        <a:p>
          <a:endParaRPr lang="en-AU" sz="2000" b="0" i="1" baseline="0">
            <a:solidFill>
              <a:schemeClr val="bg1">
                <a:lumMod val="50000"/>
              </a:schemeClr>
            </a:solidFill>
          </a:endParaRPr>
        </a:p>
        <a:p>
          <a:r>
            <a:rPr lang="en-AU" sz="2000" b="0" i="1" baseline="0">
              <a:solidFill>
                <a:schemeClr val="bg1">
                  <a:lumMod val="50000"/>
                </a:schemeClr>
              </a:solidFill>
            </a:rPr>
            <a:t>Regards,</a:t>
          </a:r>
        </a:p>
        <a:p>
          <a:endParaRPr lang="en-AU" sz="2000" b="0" i="1" baseline="0">
            <a:solidFill>
              <a:schemeClr val="bg1">
                <a:lumMod val="50000"/>
              </a:schemeClr>
            </a:solidFill>
          </a:endParaRPr>
        </a:p>
        <a:p>
          <a:r>
            <a:rPr lang="en-AU" sz="2000" b="0" i="1" baseline="0">
              <a:solidFill>
                <a:schemeClr val="bg1">
                  <a:lumMod val="50000"/>
                </a:schemeClr>
              </a:solidFill>
            </a:rPr>
            <a:t>SAMA PMO Team</a:t>
          </a:r>
          <a:endParaRPr lang="en-AU" sz="2000" b="0" i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12</xdr:col>
      <xdr:colOff>1624853</xdr:colOff>
      <xdr:row>7</xdr:row>
      <xdr:rowOff>265118</xdr:rowOff>
    </xdr:from>
    <xdr:to>
      <xdr:col>16</xdr:col>
      <xdr:colOff>407608</xdr:colOff>
      <xdr:row>28</xdr:row>
      <xdr:rowOff>168088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0878" y="1522418"/>
          <a:ext cx="2240330" cy="3979670"/>
        </a:xfrm>
        <a:prstGeom prst="rect">
          <a:avLst/>
        </a:prstGeom>
      </xdr:spPr>
    </xdr:pic>
    <xdr:clientData/>
  </xdr:twoCellAnchor>
  <xdr:twoCellAnchor editAs="oneCell">
    <xdr:from>
      <xdr:col>8</xdr:col>
      <xdr:colOff>212911</xdr:colOff>
      <xdr:row>24</xdr:row>
      <xdr:rowOff>56029</xdr:rowOff>
    </xdr:from>
    <xdr:to>
      <xdr:col>11</xdr:col>
      <xdr:colOff>1152155</xdr:colOff>
      <xdr:row>30</xdr:row>
      <xdr:rowOff>67234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44" t="24897" r="9913" b="6910"/>
        <a:stretch/>
      </xdr:blipFill>
      <xdr:spPr bwMode="auto">
        <a:xfrm>
          <a:off x="5277970" y="5636558"/>
          <a:ext cx="3942420" cy="1423147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866775</xdr:colOff>
      <xdr:row>0</xdr:row>
      <xdr:rowOff>66675</xdr:rowOff>
    </xdr:from>
    <xdr:ext cx="2834339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410575" y="66675"/>
          <a:ext cx="28343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endParaRPr lang="en-AU" sz="1100" b="1" i="1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twoCellAnchor editAs="oneCell">
    <xdr:from>
      <xdr:col>15</xdr:col>
      <xdr:colOff>238124</xdr:colOff>
      <xdr:row>19</xdr:row>
      <xdr:rowOff>85724</xdr:rowOff>
    </xdr:from>
    <xdr:to>
      <xdr:col>17</xdr:col>
      <xdr:colOff>104775</xdr:colOff>
      <xdr:row>29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333371</xdr:colOff>
      <xdr:row>30</xdr:row>
      <xdr:rowOff>409574</xdr:rowOff>
    </xdr:from>
    <xdr:to>
      <xdr:col>12</xdr:col>
      <xdr:colOff>409574</xdr:colOff>
      <xdr:row>44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257174</xdr:colOff>
      <xdr:row>30</xdr:row>
      <xdr:rowOff>390525</xdr:rowOff>
    </xdr:from>
    <xdr:to>
      <xdr:col>17</xdr:col>
      <xdr:colOff>161924</xdr:colOff>
      <xdr:row>42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102801</xdr:colOff>
      <xdr:row>14</xdr:row>
      <xdr:rowOff>47551</xdr:rowOff>
    </xdr:from>
    <xdr:to>
      <xdr:col>7</xdr:col>
      <xdr:colOff>557567</xdr:colOff>
      <xdr:row>14</xdr:row>
      <xdr:rowOff>171915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 bwMode="auto">
        <a:xfrm>
          <a:off x="2836476" y="2114476"/>
          <a:ext cx="454766" cy="124364"/>
        </a:xfrm>
        <a:prstGeom prst="rightArrow">
          <a:avLst>
            <a:gd name="adj1" fmla="val 50000"/>
            <a:gd name="adj2" fmla="val 70000"/>
          </a:avLst>
        </a:prstGeom>
        <a:solidFill>
          <a:schemeClr val="accent6"/>
        </a:solidFill>
        <a:ln w="6350">
          <a:noFill/>
          <a:prstDash val="sysDot"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en-AU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50347</xdr:colOff>
      <xdr:row>16</xdr:row>
      <xdr:rowOff>38100</xdr:rowOff>
    </xdr:from>
    <xdr:to>
      <xdr:col>13</xdr:col>
      <xdr:colOff>8164</xdr:colOff>
      <xdr:row>16</xdr:row>
      <xdr:rowOff>201385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2126797" y="2400300"/>
          <a:ext cx="4615542" cy="163285"/>
        </a:xfrm>
        <a:prstGeom prst="rightArrow">
          <a:avLst>
            <a:gd name="adj1" fmla="val 50000"/>
            <a:gd name="adj2" fmla="val 70000"/>
          </a:avLst>
        </a:prstGeom>
        <a:solidFill>
          <a:schemeClr val="accent6"/>
        </a:solidFill>
        <a:ln w="6350">
          <a:noFill/>
          <a:prstDash val="sysDot"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102006</xdr:colOff>
      <xdr:row>14</xdr:row>
      <xdr:rowOff>44862</xdr:rowOff>
    </xdr:from>
    <xdr:to>
      <xdr:col>9</xdr:col>
      <xdr:colOff>556772</xdr:colOff>
      <xdr:row>14</xdr:row>
      <xdr:rowOff>169226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 bwMode="auto">
        <a:xfrm>
          <a:off x="4207281" y="2111787"/>
          <a:ext cx="454766" cy="124364"/>
        </a:xfrm>
        <a:prstGeom prst="rightArrow">
          <a:avLst>
            <a:gd name="adj1" fmla="val 50000"/>
            <a:gd name="adj2" fmla="val 70000"/>
          </a:avLst>
        </a:prstGeom>
        <a:solidFill>
          <a:schemeClr val="accent6"/>
        </a:solidFill>
        <a:ln w="6350">
          <a:noFill/>
          <a:prstDash val="sysDot"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101505</xdr:colOff>
      <xdr:row>14</xdr:row>
      <xdr:rowOff>36841</xdr:rowOff>
    </xdr:from>
    <xdr:to>
      <xdr:col>12</xdr:col>
      <xdr:colOff>556271</xdr:colOff>
      <xdr:row>14</xdr:row>
      <xdr:rowOff>161205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 bwMode="auto">
        <a:xfrm>
          <a:off x="6178455" y="2103766"/>
          <a:ext cx="454766" cy="124364"/>
        </a:xfrm>
        <a:prstGeom prst="rightArrow">
          <a:avLst>
            <a:gd name="adj1" fmla="val 50000"/>
            <a:gd name="adj2" fmla="val 70000"/>
          </a:avLst>
        </a:prstGeom>
        <a:solidFill>
          <a:schemeClr val="accent6"/>
        </a:solidFill>
        <a:ln w="6350">
          <a:noFill/>
          <a:prstDash val="sysDot"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285506</xdr:colOff>
      <xdr:row>12</xdr:row>
      <xdr:rowOff>97572</xdr:rowOff>
    </xdr:from>
    <xdr:to>
      <xdr:col>11</xdr:col>
      <xdr:colOff>69536</xdr:colOff>
      <xdr:row>13</xdr:row>
      <xdr:rowOff>26831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pSpPr/>
      </xdr:nvGrpSpPr>
      <xdr:grpSpPr>
        <a:xfrm>
          <a:off x="4009781" y="1650147"/>
          <a:ext cx="1736655" cy="186434"/>
          <a:chOff x="3739572" y="2067743"/>
          <a:chExt cx="1754201" cy="149838"/>
        </a:xfrm>
        <a:solidFill>
          <a:schemeClr val="accent6"/>
        </a:solidFill>
      </xdr:grpSpPr>
      <xdr:sp macro="" textlink="">
        <xdr:nvSpPr>
          <xdr:cNvPr id="14" name="Bent-Up Arrow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 bwMode="auto">
          <a:xfrm flipH="1" flipV="1">
            <a:off x="3739572" y="2067743"/>
            <a:ext cx="1754201" cy="149838"/>
          </a:xfrm>
          <a:prstGeom prst="bentUpArrow">
            <a:avLst>
              <a:gd name="adj1" fmla="val 28281"/>
              <a:gd name="adj2" fmla="val 35614"/>
              <a:gd name="adj3" fmla="val 47997"/>
            </a:avLst>
          </a:prstGeom>
          <a:grpFill/>
          <a:ln w="6350">
            <a:noFill/>
            <a:prstDash val="sysDot"/>
            <a:headEnd type="none" w="med" len="med"/>
            <a:tailEnd type="none" w="med" len="med"/>
          </a:ln>
          <a:effectLst/>
          <a:scene3d>
            <a:camera prst="orthographicFront">
              <a:rot lat="0" lon="0" rev="0"/>
            </a:camera>
            <a:lightRig rig="contrasting" dir="t">
              <a:rot lat="0" lon="0" rev="7800000"/>
            </a:lightRig>
          </a:scene3d>
          <a:sp3d>
            <a:bevelT w="139700" h="139700"/>
          </a:sp3d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lang="en-AU" sz="1100">
              <a:solidFill>
                <a:srgbClr val="C00000"/>
              </a:solidFill>
            </a:endParaRPr>
          </a:p>
        </xdr:txBody>
      </xdr:sp>
      <xdr:sp macro="" textlink="">
        <xdr:nvSpPr>
          <xdr:cNvPr id="15" name="Flowchart: Process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 bwMode="auto">
          <a:xfrm rot="16200000" flipH="1" flipV="1">
            <a:off x="5431215" y="2106398"/>
            <a:ext cx="77116" cy="45719"/>
          </a:xfrm>
          <a:prstGeom prst="flowChartProcess">
            <a:avLst/>
          </a:prstGeom>
          <a:grpFill/>
          <a:ln w="6350">
            <a:noFill/>
            <a:prstDash val="sysDot"/>
            <a:headEnd type="none" w="med" len="med"/>
            <a:tailEnd type="none" w="med" len="med"/>
          </a:ln>
          <a:effectLst/>
          <a:scene3d>
            <a:camera prst="orthographicFront">
              <a:rot lat="0" lon="0" rev="0"/>
            </a:camera>
            <a:lightRig rig="contrasting" dir="t">
              <a:rot lat="0" lon="0" rev="7800000"/>
            </a:lightRig>
          </a:scene3d>
          <a:sp3d>
            <a:bevelT w="139700" h="139700"/>
          </a:sp3d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lang="en-AU" sz="1100">
              <a:solidFill>
                <a:srgbClr val="C00000"/>
              </a:solidFill>
            </a:endParaRPr>
          </a:p>
        </xdr:txBody>
      </xdr:sp>
    </xdr:grpSp>
    <xdr:clientData/>
  </xdr:twoCellAnchor>
  <xdr:twoCellAnchor>
    <xdr:from>
      <xdr:col>6</xdr:col>
      <xdr:colOff>171450</xdr:colOff>
      <xdr:row>20</xdr:row>
      <xdr:rowOff>28575</xdr:rowOff>
    </xdr:from>
    <xdr:to>
      <xdr:col>12</xdr:col>
      <xdr:colOff>361950</xdr:colOff>
      <xdr:row>30</xdr:row>
      <xdr:rowOff>114301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86606</xdr:colOff>
      <xdr:row>5</xdr:row>
      <xdr:rowOff>50042</xdr:rowOff>
    </xdr:from>
    <xdr:to>
      <xdr:col>19</xdr:col>
      <xdr:colOff>10803</xdr:colOff>
      <xdr:row>7</xdr:row>
      <xdr:rowOff>26671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76F7162-C1D2-45C3-8476-07EB27F6A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35806" y="575822"/>
          <a:ext cx="574667" cy="532889"/>
        </a:xfrm>
        <a:prstGeom prst="rect">
          <a:avLst/>
        </a:prstGeom>
      </xdr:spPr>
    </xdr:pic>
    <xdr:clientData/>
  </xdr:twoCellAnchor>
  <xdr:twoCellAnchor editAs="oneCell">
    <xdr:from>
      <xdr:col>14</xdr:col>
      <xdr:colOff>345492</xdr:colOff>
      <xdr:row>6</xdr:row>
      <xdr:rowOff>49871</xdr:rowOff>
    </xdr:from>
    <xdr:to>
      <xdr:col>16</xdr:col>
      <xdr:colOff>916158</xdr:colOff>
      <xdr:row>7</xdr:row>
      <xdr:rowOff>16929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5BC8A3-BD94-43B5-A069-BEFCBE16F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09632" y="689951"/>
          <a:ext cx="2040477" cy="4090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ging-app-01@6060\Users\h27026\Desktop\SAMA%20PMO%20-%20Reporting%20Sys2-7-31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l%20out%20report?7B366167" TargetMode="External"/><Relationship Id="rId1" Type="http://schemas.openxmlformats.org/officeDocument/2006/relationships/externalLinkPath" Target="file:///\\7B366167\Fill%20out%20repor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Macros1"/>
      <sheetName val="PMO Report"/>
      <sheetName val="Projects Report"/>
      <sheetName val="OnGoing Report Dept."/>
      <sheetName val="Pipeline Project"/>
      <sheetName val="Initiative Project"/>
      <sheetName val="OnHold Project"/>
      <sheetName val="Closed Project"/>
      <sheetName val="Project Health"/>
      <sheetName val="Closed last month"/>
      <sheetName val="Home - PRINTING"/>
      <sheetName val="Home - PRINTING 2"/>
      <sheetName val="Project Health - PRINTING"/>
      <sheetName val="Schedule - PRINTING"/>
      <sheetName val="Scope-PRINTING"/>
      <sheetName val="Quality-PRINTING"/>
      <sheetName val="Status Report - PRINTING"/>
      <sheetName val="Closed last month - PRINTING"/>
      <sheetName val="Risk Report-PRINTING"/>
      <sheetName val="Issues Report-PRINTING"/>
      <sheetName val="Projects Dashboard-PRINTING"/>
      <sheetName val="OnGoing Report"/>
      <sheetName val="Status Report"/>
      <sheetName val="Schedule"/>
      <sheetName val="Scope"/>
      <sheetName val="Quality"/>
      <sheetName val="High Risks-issues"/>
      <sheetName val="Status Report - email"/>
      <sheetName val="Risk Report"/>
      <sheetName val="Issues Report"/>
      <sheetName val="Projects Dashboard"/>
      <sheetName val=" Statistical Information"/>
      <sheetName val="Admin"/>
      <sheetName val="Departments"/>
      <sheetName val="Document Availability2"/>
      <sheetName val="Document Availability"/>
      <sheetName val="Project Priority"/>
      <sheetName val="Weeks"/>
      <sheetName val="SAMA-PMO DB"/>
      <sheetName val="SAMA-PMO Risk DB"/>
      <sheetName val="SAMA-PMO Dependences"/>
      <sheetName val="List"/>
      <sheetName val="Reports"/>
      <sheetName val="Help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out report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L103:AN113" totalsRowShown="0" headerRowDxfId="95" dataDxfId="94" headerRowBorderDxfId="92" tableBorderDxfId="93" totalsRowBorderDxfId="91">
  <autoFilter ref="AL103:AN113" xr:uid="{00000000-0009-0000-0100-000001000000}"/>
  <tableColumns count="3">
    <tableColumn id="1" xr3:uid="{00000000-0010-0000-0100-000001000000}" name="Probability value" dataDxfId="90" dataCellStyle="Normal 2">
      <calculatedColumnFormula>(IF(K104="&gt; 75%",5,
(IF(K104="50% - 75%",4,
(IF(K104="20% - 50%",3,
(IF(K104="5% - 20%",2,
(IF(K104="&lt; 5%",1,0))))))))))</calculatedColumnFormula>
    </tableColumn>
    <tableColumn id="2" xr3:uid="{00000000-0010-0000-0100-000002000000}" name="Impact value" dataDxfId="89" dataCellStyle="Normal 2">
      <calculatedColumnFormula>(IF(L104="Severe",5,
(IF(L104="Major",4,
(IF(L104="Moderate",3,
(IF(L104="Marginal",2,
(IF(L104="Negligible",1,0))))))))))</calculatedColumnFormula>
    </tableColumn>
    <tableColumn id="3" xr3:uid="{00000000-0010-0000-0100-000003000000}" name="Risks" dataDxfId="88" dataCellStyle="Normal 2">
      <calculatedColumnFormula>IF(G104&lt;&gt;"",F104,"")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L119:AN129" totalsRowShown="0" headerRowDxfId="87" dataDxfId="86" headerRowBorderDxfId="84" tableBorderDxfId="85" totalsRowBorderDxfId="83">
  <autoFilter ref="AL119:AN129" xr:uid="{00000000-0009-0000-0100-000002000000}"/>
  <tableColumns count="3">
    <tableColumn id="1" xr3:uid="{00000000-0010-0000-0200-000001000000}" name="Impact value" dataDxfId="82" dataCellStyle="Normal 2">
      <calculatedColumnFormula>(IF(L120="High",3,
(IF(L120="Medium",2,
(IF(L120="Low",1,0))))))</calculatedColumnFormula>
    </tableColumn>
    <tableColumn id="2" xr3:uid="{00000000-0010-0000-0200-000002000000}" name="Column1" dataDxfId="81" dataCellStyle="Normal 2"/>
    <tableColumn id="3" xr3:uid="{00000000-0010-0000-0200-000003000000}" name="Issues" dataDxfId="80" dataCellStyle="Normal 2">
      <calculatedColumnFormula>IF(G120&lt;&gt;"",F120,"")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3B04BF-33F3-49D3-97AA-F3FC9D729DF3}" name="Table145" displayName="Table145" ref="A1:AO2" totalsRowShown="0" headerRowDxfId="79" dataDxfId="78" headerRowBorderDxfId="76" tableBorderDxfId="77" totalsRowBorderDxfId="75">
  <sortState xmlns:xlrd2="http://schemas.microsoft.com/office/spreadsheetml/2017/richdata2" ref="A2:AV2">
    <sortCondition descending="1" ref="P2:P3"/>
  </sortState>
  <tableColumns count="41">
    <tableColumn id="3" xr3:uid="{AD475E0D-F1EE-4098-A4CD-6B4B521D2248}" name="Project Name" dataDxfId="74">
      <calculatedColumnFormula>'Fill out report  تعبئة التقرير'!F11</calculatedColumnFormula>
    </tableColumn>
    <tableColumn id="4" xr3:uid="{BF4A30E5-FA07-40B2-ACB3-EACC02F10EB9}" name="Sector" dataDxfId="73">
      <calculatedColumnFormula>'Fill out report  تعبئة التقرير'!F13</calculatedColumnFormula>
    </tableColumn>
    <tableColumn id="1" xr3:uid="{A28653F8-B015-4BEC-9CE3-4DA950A88801}" name="Vendor Name" dataDxfId="72">
      <calculatedColumnFormula>'Fill out report  تعبئة التقرير'!F14</calculatedColumnFormula>
    </tableColumn>
    <tableColumn id="21" xr3:uid="{417C9644-6051-492F-949B-375391BAF847}" name="Project Code" dataDxfId="71">
      <calculatedColumnFormula>'Fill out report  تعبئة التقرير'!F12</calculatedColumnFormula>
    </tableColumn>
    <tableColumn id="22" xr3:uid="{A66ED3D6-2C06-4191-B374-8DCB472E038E}" name="Project Sponsor" dataDxfId="70">
      <calculatedColumnFormula>'Fill out report  تعبئة التقرير'!P13</calculatedColumnFormula>
    </tableColumn>
    <tableColumn id="5" xr3:uid="{8C0582ED-DB25-4EF9-837A-16EE2D2AD206}" name="Project Owner  " dataDxfId="68" totalsRowDxfId="69">
      <calculatedColumnFormula>'Fill out report  تعبئة التقرير'!P14</calculatedColumnFormula>
    </tableColumn>
    <tableColumn id="7" xr3:uid="{6778DC23-32CE-4CE3-9940-E689D5D21975}" name="Project Manager" dataDxfId="66" totalsRowDxfId="67">
      <calculatedColumnFormula>'Fill out report  تعبئة التقرير'!P15</calculatedColumnFormula>
    </tableColumn>
    <tableColumn id="29" xr3:uid="{D4E362DF-E303-40A5-9A08-37D3A633086E}" name="Phase" dataDxfId="64" totalsRowDxfId="65">
      <calculatedColumnFormula>'Fill out report  تعبئة التقرير'!F15</calculatedColumnFormula>
    </tableColumn>
    <tableColumn id="9" xr3:uid="{3C2E7DD8-871F-40B0-B85E-E0A3497C4368}" name="Project Start Date" dataDxfId="62" totalsRowDxfId="63">
      <calculatedColumnFormula>'Fill out report  تعبئة التقرير'!P11</calculatedColumnFormula>
    </tableColumn>
    <tableColumn id="10" xr3:uid="{0894E232-4A5B-42A4-91A1-3C8CAE69F7FE}" name="Project End Date" dataDxfId="60" totalsRowDxfId="61">
      <calculatedColumnFormula>'Fill out report  تعبئة التقرير'!P12</calculatedColumnFormula>
    </tableColumn>
    <tableColumn id="15" xr3:uid="{B1DE3FAC-55EC-42D2-B3AA-A42D680D3E34}" name="Estimated End Date" dataDxfId="58" totalsRowDxfId="59">
      <calculatedColumnFormula>'Fill out report  تعبئة التقرير'!P12</calculatedColumnFormula>
    </tableColumn>
    <tableColumn id="26" xr3:uid="{73E6FDA7-D3B7-4DC0-8692-C12AE707092F}" name="Allocated Budget " dataDxfId="56" totalsRowDxfId="57">
      <calculatedColumnFormula>'Fill out report  تعبئة التقرير'!F16</calculatedColumnFormula>
    </tableColumn>
    <tableColumn id="27" xr3:uid="{8B07F6B0-9B78-4B58-96BF-8AF5C2FBBE7D}" name="Actual Spend" dataDxfId="54" totalsRowDxfId="55">
      <calculatedColumnFormula>'Fill out report  تعبئة التقرير'!F17</calculatedColumnFormula>
    </tableColumn>
    <tableColumn id="36" xr3:uid="{88D6FA21-61CF-44C4-8FC8-C2389F4F8513}" name="Planned to Spend" dataDxfId="52" totalsRowDxfId="53">
      <calculatedColumnFormula>SUMIF(AJ2:AJ19, "&lt;=" &amp;TODAY(), AM2:AM19)</calculatedColumnFormula>
    </tableColumn>
    <tableColumn id="30" xr3:uid="{49B040D6-8A53-4E8C-A94C-FE5CB8A98BD2}" name="RAG - Previous" dataDxfId="50" totalsRowDxfId="51">
      <calculatedColumnFormula>'Fill out report  تعبئة التقرير'!O19</calculatedColumnFormula>
    </tableColumn>
    <tableColumn id="12" xr3:uid="{37FF031E-C808-4608-8F7A-3A403A495A06}" name="RAG - Current" dataDxfId="48" totalsRowDxfId="49">
      <calculatedColumnFormula>IF('Fill out report  تعبئة التقرير'!G19= "وفق المخطط له  [On Track]",3, IF('Fill out report  تعبئة التقرير'!G19
= "تقريبا وفق المخطط له  [Generally On Track]",2, IF('Fill out report  تعبئة التقرير'!G19="خارج المخطط له  [ Off  Track]", 1, "")))</calculatedColumnFormula>
    </tableColumn>
    <tableColumn id="13" xr3:uid="{2E726232-0937-4D6F-B975-3D726D8AABEA}" name="RAG - Schedule" dataDxfId="46" totalsRowDxfId="47">
      <calculatedColumnFormula>'Fill out report  تعبئة التقرير'!F21</calculatedColumnFormula>
    </tableColumn>
    <tableColumn id="14" xr3:uid="{540790D9-77F1-462D-AD5D-C2A0ADA355D8}" name="RAG - Scope" dataDxfId="44" totalsRowDxfId="45">
      <calculatedColumnFormula>'Fill out report  تعبئة التقرير'!F22</calculatedColumnFormula>
    </tableColumn>
    <tableColumn id="28" xr3:uid="{79AE5531-55C4-4272-9A31-F64A5150569D}" name="RAG - Resources" dataDxfId="42" totalsRowDxfId="43">
      <calculatedColumnFormula>'Fill out report  تعبئة التقرير'!F23</calculatedColumnFormula>
    </tableColumn>
    <tableColumn id="16" xr3:uid="{C473D9B4-6268-477C-92D2-8567642FDD4F}" name="Previous - %Completion" dataDxfId="40" totalsRowDxfId="41">
      <calculatedColumnFormula>'Fill out report  تعبئة التقرير'!Q98</calculatedColumnFormula>
    </tableColumn>
    <tableColumn id="17" xr3:uid="{941AD238-2CBC-4644-9404-26190DB4C80C}" name="Current -  %Completion" dataDxfId="38" totalsRowDxfId="39">
      <calculatedColumnFormula>'Fill out report  تعبئة التقرير'!Q94</calculatedColumnFormula>
    </tableColumn>
    <tableColumn id="37" xr3:uid="{CE9BD53B-13CF-414C-8DFB-8DB9EB69D3A4}" name="Planned - _x000a_%Completion" dataDxfId="36" totalsRowDxfId="37">
      <calculatedColumnFormula>'Fill out report  تعبئة التقرير'!Q96</calculatedColumnFormula>
    </tableColumn>
    <tableColumn id="38" xr3:uid="{BA39A9A8-9D61-4222-8D9D-B34C17731214}" name="Planned Project Period " dataDxfId="34" totalsRowDxfId="35">
      <calculatedColumnFormula>J2-I2</calculatedColumnFormula>
    </tableColumn>
    <tableColumn id="43" xr3:uid="{99B51DAE-8228-4DFC-85D8-B9D7DE87404C}" name="Actual Project Period " dataDxfId="32" totalsRowDxfId="33">
      <calculatedColumnFormula>IF(AA2&gt;J2,AA2-I2,J2-I2)</calculatedColumnFormula>
    </tableColumn>
    <tableColumn id="47" xr3:uid="{CA9FA87A-00BC-45D7-B7A9-835288B120D6}" name="Schedule Variance" dataDxfId="30" totalsRowDxfId="31">
      <calculatedColumnFormula>X2-W2</calculatedColumnFormula>
    </tableColumn>
    <tableColumn id="39" xr3:uid="{F425980F-6F64-47D2-9DA7-3941347C92B8}" name="%Delayed" dataDxfId="28" totalsRowDxfId="29">
      <calculatedColumnFormula>V2-U2</calculatedColumnFormula>
    </tableColumn>
    <tableColumn id="34" xr3:uid="{5F8EC4FE-CB9E-40CA-9635-4F7F8C52EB90}" name="Max Milestone Date" dataDxfId="26" totalsRowDxfId="27">
      <calculatedColumnFormula>MAX(AJ2:AJ51)</calculatedColumnFormula>
    </tableColumn>
    <tableColumn id="18" xr3:uid="{737B86E1-6F38-4852-AA00-89214A32B4E4}" name="Achivements" dataDxfId="24" totalsRowDxfId="25">
      <calculatedColumnFormula xml:space="preserve"> IF('Fill out report  تعبئة التقرير'!F80="","",'Fill out report  تعبئة التقرير'!F80)</calculatedColumnFormula>
    </tableColumn>
    <tableColumn id="25" xr3:uid="{6EDD5750-8C3A-4370-9977-F1E9FAB2BD9C}" name="Next Tasks" dataDxfId="22" totalsRowDxfId="23">
      <calculatedColumnFormula xml:space="preserve"> IF('Fill out report  تعبئة التقرير'!M80="","",'Fill out report  تعبئة التقرير'!M80)</calculatedColumnFormula>
    </tableColumn>
    <tableColumn id="31" xr3:uid="{51CAE773-E602-429A-85EE-2AA5D836E9D7}" name="Issues" dataDxfId="20" totalsRowDxfId="21">
      <calculatedColumnFormula>IF('Fill out report  تعبئة التقرير'!F120=3,"- "&amp;'Fill out report  تعبئة التقرير'!G120&amp;CHAR(10)," ")&amp;IF('Fill out report  تعبئة التقرير'!F121=3,"- "&amp;'Fill out report  تعبئة التقرير'!G121&amp;CHAR(10)," ")&amp;IF('Fill out report  تعبئة التقرير'!F122=3,"- "&amp;'Fill out report  تعبئة التقرير'!G122&amp;CHAR(10)," ")&amp;IF('Fill out report  تعبئة التقرير'!F123=3,"- "&amp;'Fill out report  تعبئة التقرير'!G123&amp;CHAR(10)," ")&amp;IF('Fill out report  تعبئة التقرير'!F124=3,"- "&amp;'Fill out report  تعبئة التقرير'!G124&amp;CHAR(10)," ")&amp;IF('Fill out report  تعبئة التقرير'!F125=3,"- "&amp;'Fill out report  تعبئة التقرير'!G125&amp;CHAR(10)," ")&amp;IF('Fill out report  تعبئة التقرير'!F126=3,"- "&amp;'Fill out report  تعبئة التقرير'!G126&amp;CHAR(10)," ")&amp;IF('Fill out report  تعبئة التقرير'!F127=3,"- "&amp;'Fill out report  تعبئة التقرير'!G127&amp;CHAR(10)," ")&amp;IF('Fill out report  تعبئة التقرير'!F128=3,"- "&amp;'Fill out report  تعبئة التقرير'!G128&amp;CHAR(10)," ")&amp;IF('Fill out report  تعبئة التقرير'!F129=3,"- "&amp;'Fill out report  تعبئة التقرير'!G129," ")</calculatedColumnFormula>
    </tableColumn>
    <tableColumn id="23" xr3:uid="{A1488A29-8768-4F26-A3EB-54593342C997}" name="Risks" dataDxfId="18" totalsRowDxfId="19">
      <calculatedColumnFormula>IF('Fill out report  تعبئة التقرير'!F104&gt;9,"- "&amp;'Fill out report  تعبئة التقرير'!G104&amp;CHAR(10)," ")&amp;IF('Fill out report  تعبئة التقرير'!F105&gt;9,"- "&amp;'Fill out report  تعبئة التقرير'!G105&amp;CHAR(10)," ")&amp;IF('Fill out report  تعبئة التقرير'!F106&gt;9,"- "&amp;'Fill out report  تعبئة التقرير'!G106&amp;CHAR(10)," ")&amp;IF('Fill out report  تعبئة التقرير'!F107&gt;9,"- "&amp;'Fill out report  تعبئة التقرير'!G107&amp;CHAR(10)," ")&amp;IF('Fill out report  تعبئة التقرير'!F108&gt;9,"- "&amp;'Fill out report  تعبئة التقرير'!G108&amp;CHAR(10)," ")&amp;IF('Fill out report  تعبئة التقرير'!F109&gt;9,"- "&amp;'Fill out report  تعبئة التقرير'!G109&amp;CHAR(10)," ")&amp;IF('Fill out report  تعبئة التقرير'!F110&gt;9,"- "&amp;'Fill out report  تعبئة التقرير'!G110&amp;CHAR(10)," ")&amp;IF('Fill out report  تعبئة التقرير'!F111&gt;9,"- "&amp;'Fill out report  تعبئة التقرير'!G111&amp;CHAR(10)," ")&amp;IF('Fill out report  تعبئة التقرير'!F112&gt;9,"- "&amp;'Fill out report  تعبئة التقرير'!G112&amp;CHAR(10)," ")&amp;IF('Fill out report  تعبئة التقرير'!F113&gt;9,"- "&amp;'Fill out report  تعبئة التقرير'!G113," ")</calculatedColumnFormula>
    </tableColumn>
    <tableColumn id="24" xr3:uid="{4A7B8323-2650-49CE-9DBD-39B7110A7234}" name="PM Comments" dataDxfId="17">
      <calculatedColumnFormula xml:space="preserve"> IF('Fill out report  تعبئة التقرير'!G94="","",'Fill out report  تعبئة التقرير'!G94)</calculatedColumnFormula>
    </tableColumn>
    <tableColumn id="32" xr3:uid="{913C7BAA-61C9-49E4-AFEE-7DC787170FF1}" name="Help Required" dataDxfId="16">
      <calculatedColumnFormula>IF('Fill out report  تعبئة التقرير'!G134&lt;&gt;"","- "&amp;'Fill out report  تعبئة التقرير'!G134," ")&amp;
IF('Fill out report  تعبئة التقرير'!G135&lt;&gt;"",CHAR(10)&amp;"- "&amp;'Fill out report  تعبئة التقرير'!G135," ")&amp;
IF('Fill out report  تعبئة التقرير'!G136&lt;&gt;"",CHAR(10)&amp;"- "&amp;'Fill out report  تعبئة التقرير'!G136," ")</calculatedColumnFormula>
    </tableColumn>
    <tableColumn id="2" xr3:uid="{6DEE59BD-4207-44FA-AE34-8E71E1FC5E4D}" name="Milestones" dataDxfId="14" totalsRowDxfId="15">
      <calculatedColumnFormula>IF('Fill out report  تعبئة التقرير'!E28 &gt;=" ",'Fill out report  تعبئة التقرير'!E28,"")</calculatedColumnFormula>
    </tableColumn>
    <tableColumn id="6" xr3:uid="{4C9F5147-8B86-4797-8F40-C25E6BAC56E2}" name="Milestone Start Date" dataDxfId="12" totalsRowDxfId="13">
      <calculatedColumnFormula>IF('Fill out report  تعبئة التقرير'!I28 &gt; 0,'Fill out report  تعبئة التقرير'!I28,"")</calculatedColumnFormula>
    </tableColumn>
    <tableColumn id="8" xr3:uid="{296ED8D7-86D4-4BB5-BCE2-093B19391F0F}" name="Milestone End Date" dataDxfId="10" totalsRowDxfId="11">
      <calculatedColumnFormula>IF('Fill out report  تعبئة التقرير'!J28 &gt; 0,'Fill out report  تعبئة التقرير'!J28,"")</calculatedColumnFormula>
    </tableColumn>
    <tableColumn id="11" xr3:uid="{F87524C5-CE55-4D23-9CFF-63274D0EA78C}" name="Milestone % Completion" dataDxfId="8" totalsRowDxfId="9">
      <calculatedColumnFormula>IF('Fill out report  تعبئة التقرير'!K28 &gt;=0,'Fill out report  تعبئة التقرير'!K28,"")</calculatedColumnFormula>
    </tableColumn>
    <tableColumn id="19" xr3:uid="{8C4012E2-9CDF-484E-8778-C628DFCC2EBE}" name="Deliverables" dataDxfId="6" totalsRowDxfId="7">
      <calculatedColumnFormula>IF('Fill out report  تعبئة التقرير'!L28 &gt;=" ",'Fill out report  تعبئة التقرير'!L28,"")</calculatedColumnFormula>
    </tableColumn>
    <tableColumn id="35" xr3:uid="{6834ECF1-18AE-476E-B5D8-BBADCC331D84}" name="Payment Amount" dataDxfId="4" totalsRowDxfId="5">
      <calculatedColumnFormula>IF('Fill out report  تعبئة التقرير'!O28 &gt; 0,'Fill out report  تعبئة التقرير'!O28,"")</calculatedColumnFormula>
    </tableColumn>
    <tableColumn id="33" xr3:uid="{9CCEAD9F-62BE-48AC-99A9-65BE3ABD33F4}" name="Paid" dataDxfId="2" totalsRowDxfId="3">
      <calculatedColumnFormula>IF('Fill out report  تعبئة التقرير'!Q28 &gt;=" ",'Fill out report  تعبئة التقرير'!Q28,"")</calculatedColumnFormula>
    </tableColumn>
    <tableColumn id="20" xr3:uid="{090FDBC4-75AC-4FA6-8617-E58E70875829}" name="Flag" dataDxfId="0" totalsRowDxfId="1">
      <calculatedColumnFormula>IF('Fill out report  تعبئة التقرير'!R28 &gt; 0,'Fill out report  تعبئة التقرير'!R28,"")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DU270"/>
  <sheetViews>
    <sheetView showGridLines="0" showRowColHeaders="0" zoomScale="85" zoomScaleNormal="85" workbookViewId="0">
      <selection activeCell="M30" sqref="M30"/>
    </sheetView>
  </sheetViews>
  <sheetFormatPr defaultColWidth="9.140625" defaultRowHeight="0" customHeight="1" zeroHeight="1"/>
  <cols>
    <col min="1" max="1" width="7.42578125" style="60" customWidth="1"/>
    <col min="2" max="3" width="1.42578125" style="60" customWidth="1"/>
    <col min="4" max="4" width="3.85546875" style="57" customWidth="1"/>
    <col min="5" max="5" width="4" style="57" customWidth="1"/>
    <col min="6" max="6" width="7.42578125" style="57" customWidth="1"/>
    <col min="7" max="7" width="40.5703125" style="57" customWidth="1"/>
    <col min="8" max="8" width="9.5703125" style="57" customWidth="1"/>
    <col min="9" max="9" width="11.42578125" style="57" customWidth="1"/>
    <col min="10" max="10" width="18.42578125" style="57" customWidth="1"/>
    <col min="11" max="11" width="15" style="57" customWidth="1"/>
    <col min="12" max="12" width="20.42578125" style="57" customWidth="1"/>
    <col min="13" max="13" width="35.42578125" style="57" customWidth="1"/>
    <col min="14" max="14" width="11.42578125" style="57" customWidth="1"/>
    <col min="15" max="15" width="19.85546875" style="57" customWidth="1"/>
    <col min="16" max="16" width="21.42578125" style="57" customWidth="1"/>
    <col min="17" max="17" width="13.42578125" style="57" customWidth="1"/>
    <col min="18" max="18" width="3.140625" style="57" customWidth="1"/>
    <col min="19" max="20" width="9.140625" style="57" customWidth="1"/>
    <col min="21" max="21" width="20.42578125" style="57" customWidth="1"/>
    <col min="22" max="48" width="9.140625" style="57" customWidth="1"/>
    <col min="49" max="50" width="9.140625" style="59" customWidth="1"/>
    <col min="51" max="51" width="20" style="58" customWidth="1"/>
    <col min="52" max="136" width="9.140625" style="57" customWidth="1"/>
    <col min="137" max="16384" width="9.140625" style="57"/>
  </cols>
  <sheetData>
    <row r="1" spans="1:125" s="60" customFormat="1" ht="38.450000000000003" customHeight="1">
      <c r="AW1" s="105"/>
      <c r="AX1" s="105"/>
      <c r="AY1" s="86"/>
    </row>
    <row r="2" spans="1:125" s="60" customFormat="1" ht="6.75" customHeight="1">
      <c r="C2" s="104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3"/>
      <c r="AX2" s="103"/>
      <c r="AY2" s="102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1"/>
      <c r="CQ2" s="101"/>
      <c r="CR2" s="101"/>
      <c r="CS2" s="101"/>
      <c r="CT2" s="101"/>
      <c r="CU2" s="101"/>
      <c r="CV2" s="101"/>
      <c r="CW2" s="101"/>
      <c r="CX2" s="101"/>
      <c r="CY2" s="101"/>
      <c r="CZ2" s="101"/>
      <c r="DA2" s="101"/>
      <c r="DB2" s="101"/>
      <c r="DC2" s="101"/>
      <c r="DD2" s="101"/>
      <c r="DE2" s="101"/>
      <c r="DF2" s="101"/>
      <c r="DG2" s="101"/>
      <c r="DH2" s="101"/>
      <c r="DI2" s="101"/>
      <c r="DJ2" s="101"/>
      <c r="DK2" s="101"/>
      <c r="DL2" s="101"/>
      <c r="DM2" s="101"/>
      <c r="DN2" s="101"/>
      <c r="DO2" s="101"/>
      <c r="DP2" s="101"/>
      <c r="DQ2" s="101"/>
      <c r="DR2" s="101"/>
      <c r="DS2" s="101"/>
      <c r="DT2" s="101"/>
      <c r="DU2" s="101"/>
    </row>
    <row r="3" spans="1:125" ht="14.45">
      <c r="B3" s="62"/>
      <c r="C3" s="61"/>
    </row>
    <row r="4" spans="1:125" ht="3.95" customHeight="1">
      <c r="B4" s="62"/>
      <c r="C4" s="61"/>
      <c r="F4" s="100"/>
    </row>
    <row r="5" spans="1:125" s="8" customFormat="1" ht="18" customHeight="1" thickBot="1">
      <c r="A5" s="60"/>
      <c r="B5" s="45"/>
      <c r="C5" s="61"/>
      <c r="D5" s="57"/>
      <c r="E5" s="9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3"/>
      <c r="AW5" s="41"/>
      <c r="AX5" s="41"/>
      <c r="AY5" s="55"/>
    </row>
    <row r="6" spans="1:125" s="8" customFormat="1" ht="34.700000000000003" customHeight="1" thickTop="1">
      <c r="A6" s="99"/>
      <c r="B6" s="98"/>
      <c r="C6" s="97"/>
      <c r="D6" s="96"/>
      <c r="E6" s="14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6"/>
      <c r="AW6" s="41"/>
      <c r="AX6" s="41"/>
      <c r="AY6" s="55"/>
    </row>
    <row r="7" spans="1:125" s="8" customFormat="1" ht="21.2" customHeight="1">
      <c r="A7" s="60"/>
      <c r="B7" s="45"/>
      <c r="C7" s="61"/>
      <c r="D7" s="57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6"/>
      <c r="AW7" s="41"/>
      <c r="AX7" s="41"/>
      <c r="AY7" s="55"/>
    </row>
    <row r="8" spans="1:125" s="8" customFormat="1" ht="27.95" customHeight="1">
      <c r="A8" s="95"/>
      <c r="B8" s="94"/>
      <c r="C8" s="93"/>
      <c r="D8" s="92"/>
      <c r="E8" s="14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6"/>
      <c r="AW8" s="41"/>
      <c r="AX8" s="41"/>
      <c r="AY8" s="55"/>
    </row>
    <row r="9" spans="1:125" s="8" customFormat="1" ht="4.7" customHeight="1">
      <c r="A9" s="60"/>
      <c r="B9" s="45"/>
      <c r="C9" s="61"/>
      <c r="D9" s="57"/>
      <c r="E9" s="14"/>
      <c r="F9" s="37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16"/>
      <c r="AW9" s="41"/>
      <c r="AX9" s="41"/>
      <c r="AY9" s="55"/>
    </row>
    <row r="10" spans="1:125" ht="14.45">
      <c r="C10" s="61"/>
      <c r="E10" s="14"/>
      <c r="F10" s="62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2"/>
      <c r="R10" s="16"/>
    </row>
    <row r="11" spans="1:125" ht="14.45">
      <c r="C11" s="61"/>
      <c r="E11" s="14"/>
      <c r="F11" s="62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2"/>
      <c r="R11" s="16"/>
    </row>
    <row r="12" spans="1:125" ht="18.600000000000001">
      <c r="C12" s="61"/>
      <c r="E12" s="14"/>
      <c r="F12" s="62"/>
      <c r="G12" s="91"/>
      <c r="H12" s="89"/>
      <c r="I12" s="89"/>
      <c r="J12" s="89"/>
      <c r="K12" s="91"/>
      <c r="L12" s="89"/>
      <c r="M12" s="89"/>
      <c r="N12" s="89"/>
      <c r="O12" s="89"/>
      <c r="P12" s="89"/>
      <c r="Q12" s="89"/>
      <c r="R12" s="16"/>
    </row>
    <row r="13" spans="1:125" ht="18.600000000000001">
      <c r="C13" s="61"/>
      <c r="E13" s="14"/>
      <c r="F13" s="62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89"/>
      <c r="R13" s="16"/>
    </row>
    <row r="14" spans="1:125" ht="18.600000000000001">
      <c r="C14" s="61"/>
      <c r="E14" s="14"/>
      <c r="F14" s="62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89"/>
      <c r="R14" s="16"/>
    </row>
    <row r="15" spans="1:125" ht="18.600000000000001">
      <c r="C15" s="61"/>
      <c r="E15" s="14"/>
      <c r="F15" s="62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89"/>
      <c r="R15" s="16"/>
    </row>
    <row r="16" spans="1:125" ht="18.600000000000001">
      <c r="C16" s="61"/>
      <c r="E16" s="14"/>
      <c r="F16" s="62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89"/>
      <c r="R16" s="16"/>
    </row>
    <row r="17" spans="1:51" ht="18.600000000000001">
      <c r="C17" s="61"/>
      <c r="E17" s="14"/>
      <c r="F17" s="62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89"/>
      <c r="R17" s="16"/>
    </row>
    <row r="18" spans="1:51" ht="18.600000000000001">
      <c r="C18" s="61"/>
      <c r="E18" s="14"/>
      <c r="F18" s="62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89"/>
      <c r="R18" s="16"/>
    </row>
    <row r="19" spans="1:51" ht="18.600000000000001">
      <c r="C19" s="61"/>
      <c r="E19" s="14"/>
      <c r="F19" s="62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89"/>
      <c r="R19" s="16"/>
    </row>
    <row r="20" spans="1:51" ht="18.600000000000001">
      <c r="C20" s="61"/>
      <c r="E20" s="14"/>
      <c r="F20" s="62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89"/>
      <c r="R20" s="16"/>
    </row>
    <row r="21" spans="1:51" ht="18.600000000000001">
      <c r="C21" s="61"/>
      <c r="E21" s="14"/>
      <c r="F21" s="62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89"/>
      <c r="R21" s="16"/>
    </row>
    <row r="22" spans="1:51" ht="18.600000000000001">
      <c r="C22" s="61"/>
      <c r="E22" s="14"/>
      <c r="F22" s="62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89"/>
      <c r="R22" s="16"/>
    </row>
    <row r="23" spans="1:51" ht="18.600000000000001">
      <c r="C23" s="61"/>
      <c r="E23" s="14"/>
      <c r="F23" s="62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89"/>
      <c r="R23" s="16"/>
    </row>
    <row r="24" spans="1:51" ht="18.600000000000001">
      <c r="C24" s="61"/>
      <c r="E24" s="14"/>
      <c r="F24" s="62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89"/>
      <c r="R24" s="16"/>
    </row>
    <row r="25" spans="1:51" ht="18.600000000000001">
      <c r="C25" s="61"/>
      <c r="E25" s="14"/>
      <c r="F25" s="62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89"/>
      <c r="R25" s="16"/>
    </row>
    <row r="26" spans="1:51" ht="18.600000000000001">
      <c r="C26" s="61"/>
      <c r="E26" s="14"/>
      <c r="F26" s="62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89"/>
      <c r="R26" s="16"/>
    </row>
    <row r="27" spans="1:51" ht="18.600000000000001">
      <c r="C27" s="61"/>
      <c r="E27" s="14"/>
      <c r="F27" s="62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89"/>
      <c r="R27" s="16"/>
    </row>
    <row r="28" spans="1:51" ht="18.600000000000001">
      <c r="C28" s="61"/>
      <c r="E28" s="14"/>
      <c r="F28" s="62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89"/>
      <c r="R28" s="16"/>
    </row>
    <row r="29" spans="1:51" ht="18.600000000000001">
      <c r="C29" s="61"/>
      <c r="E29" s="14"/>
      <c r="F29" s="62"/>
      <c r="G29" s="91"/>
      <c r="H29" s="90"/>
      <c r="I29" s="90"/>
      <c r="J29" s="90"/>
      <c r="K29" s="91"/>
      <c r="L29" s="90"/>
      <c r="M29" s="90"/>
      <c r="N29" s="90"/>
      <c r="O29" s="60"/>
      <c r="P29" s="60"/>
      <c r="Q29" s="89"/>
      <c r="R29" s="16"/>
    </row>
    <row r="30" spans="1:51" ht="18.600000000000001">
      <c r="C30" s="61"/>
      <c r="E30" s="14"/>
      <c r="F30" s="62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89"/>
      <c r="R30" s="16"/>
    </row>
    <row r="31" spans="1:51" ht="14.45">
      <c r="C31" s="61"/>
      <c r="E31" s="14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6"/>
    </row>
    <row r="32" spans="1:51" s="8" customFormat="1" ht="15.6" customHeight="1">
      <c r="A32" s="60"/>
      <c r="B32" s="60"/>
      <c r="C32" s="61"/>
      <c r="D32" s="57"/>
      <c r="E32" s="685"/>
      <c r="F32" s="686"/>
      <c r="G32" s="686"/>
      <c r="H32" s="686"/>
      <c r="I32" s="686"/>
      <c r="J32" s="686"/>
      <c r="K32" s="60"/>
      <c r="L32" s="60"/>
      <c r="M32" s="60"/>
      <c r="N32" s="60"/>
      <c r="O32" s="688"/>
      <c r="P32" s="688"/>
      <c r="Q32" s="688"/>
      <c r="R32" s="16"/>
      <c r="W32" s="57"/>
      <c r="X32" s="57"/>
      <c r="Y32" s="57"/>
      <c r="Z32" s="57"/>
      <c r="AA32" s="57"/>
      <c r="AB32" s="57"/>
      <c r="AC32" s="59"/>
      <c r="AD32" s="59"/>
      <c r="AE32" s="59"/>
      <c r="AF32" s="59"/>
      <c r="AG32" s="59"/>
      <c r="AH32" s="57"/>
      <c r="AI32" s="57"/>
      <c r="AJ32" s="57"/>
      <c r="AK32" s="57"/>
      <c r="AL32" s="57"/>
      <c r="AW32" s="41"/>
      <c r="AX32" s="41"/>
      <c r="AY32" s="55"/>
    </row>
    <row r="33" spans="1:51" s="8" customFormat="1" ht="15.6" customHeight="1">
      <c r="A33" s="60"/>
      <c r="B33" s="60"/>
      <c r="C33" s="61"/>
      <c r="D33" s="57"/>
      <c r="E33" s="685"/>
      <c r="F33" s="686"/>
      <c r="G33" s="686"/>
      <c r="H33" s="686"/>
      <c r="I33" s="686"/>
      <c r="J33" s="686"/>
      <c r="K33" s="60"/>
      <c r="L33" s="60"/>
      <c r="M33" s="60"/>
      <c r="N33" s="60"/>
      <c r="O33" s="688"/>
      <c r="P33" s="688"/>
      <c r="Q33" s="688"/>
      <c r="R33" s="16"/>
      <c r="W33" s="57"/>
      <c r="X33" s="57"/>
      <c r="Y33" s="57"/>
      <c r="Z33" s="57"/>
      <c r="AA33" s="57"/>
      <c r="AB33" s="57"/>
      <c r="AC33" s="59"/>
      <c r="AD33" s="59"/>
      <c r="AE33" s="59"/>
      <c r="AF33" s="59"/>
      <c r="AG33" s="59"/>
      <c r="AH33" s="57"/>
      <c r="AI33" s="57"/>
      <c r="AJ33" s="57"/>
      <c r="AK33" s="57"/>
      <c r="AL33" s="57"/>
      <c r="AW33" s="41"/>
      <c r="AX33" s="41"/>
      <c r="AY33" s="55"/>
    </row>
    <row r="34" spans="1:51" s="8" customFormat="1" ht="15.6" customHeight="1" thickBot="1">
      <c r="A34" s="60"/>
      <c r="B34" s="60"/>
      <c r="C34" s="61"/>
      <c r="D34" s="57"/>
      <c r="E34" s="685"/>
      <c r="F34" s="687"/>
      <c r="G34" s="687"/>
      <c r="H34" s="687"/>
      <c r="I34" s="687"/>
      <c r="J34" s="687"/>
      <c r="K34" s="88"/>
      <c r="L34" s="88"/>
      <c r="M34" s="88"/>
      <c r="N34" s="88"/>
      <c r="O34" s="689"/>
      <c r="P34" s="689"/>
      <c r="Q34" s="689"/>
      <c r="R34" s="16"/>
      <c r="W34" s="57"/>
      <c r="X34" s="57"/>
      <c r="Y34" s="57"/>
      <c r="Z34" s="57"/>
      <c r="AA34" s="57"/>
      <c r="AB34" s="57"/>
      <c r="AC34" s="59"/>
      <c r="AD34" s="59"/>
      <c r="AE34" s="59"/>
      <c r="AF34" s="59"/>
      <c r="AG34" s="59"/>
      <c r="AH34" s="57"/>
      <c r="AI34" s="57"/>
      <c r="AJ34" s="57"/>
      <c r="AK34" s="57"/>
      <c r="AL34" s="57"/>
      <c r="AW34" s="41"/>
      <c r="AX34" s="41"/>
      <c r="AY34" s="55"/>
    </row>
    <row r="35" spans="1:51" s="8" customFormat="1" ht="15" thickTop="1">
      <c r="A35" s="60"/>
      <c r="B35" s="60"/>
      <c r="C35" s="61"/>
      <c r="D35" s="57"/>
      <c r="E35" s="26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6"/>
      <c r="W35" s="57"/>
      <c r="X35" s="57"/>
      <c r="Y35" s="57"/>
      <c r="Z35" s="57"/>
      <c r="AA35" s="57"/>
      <c r="AB35" s="57"/>
      <c r="AC35" s="59"/>
      <c r="AD35" s="59"/>
      <c r="AE35" s="59"/>
      <c r="AF35" s="59"/>
      <c r="AG35" s="59"/>
      <c r="AH35" s="57"/>
      <c r="AI35" s="57"/>
      <c r="AJ35" s="57"/>
      <c r="AK35" s="57"/>
      <c r="AL35" s="57"/>
      <c r="AW35" s="41"/>
      <c r="AX35" s="41"/>
      <c r="AY35" s="55"/>
    </row>
    <row r="36" spans="1:51" s="8" customFormat="1" ht="6.75" customHeight="1">
      <c r="A36" s="60"/>
      <c r="B36" s="60"/>
      <c r="C36" s="61"/>
      <c r="D36" s="57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W36" s="57"/>
      <c r="X36" s="57"/>
      <c r="Y36" s="57"/>
      <c r="Z36" s="57"/>
      <c r="AA36" s="57"/>
      <c r="AB36" s="57"/>
      <c r="AC36" s="59"/>
      <c r="AD36" s="59"/>
      <c r="AE36" s="59"/>
      <c r="AF36" s="59"/>
      <c r="AG36" s="59"/>
      <c r="AH36" s="57"/>
      <c r="AI36" s="57"/>
      <c r="AJ36" s="57"/>
      <c r="AK36" s="57"/>
      <c r="AL36" s="57"/>
      <c r="AW36" s="41"/>
      <c r="AX36" s="41"/>
      <c r="AY36" s="55"/>
    </row>
    <row r="37" spans="1:51" s="8" customFormat="1" ht="14.45">
      <c r="A37" s="60"/>
      <c r="B37" s="60"/>
      <c r="C37" s="61"/>
      <c r="D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V37" s="87"/>
      <c r="W37" s="57"/>
      <c r="X37" s="57"/>
      <c r="Y37" s="57"/>
      <c r="Z37" s="57"/>
      <c r="AA37" s="57"/>
      <c r="AB37" s="57"/>
      <c r="AC37" s="59"/>
      <c r="AD37" s="59"/>
      <c r="AE37" s="59"/>
      <c r="AF37" s="59"/>
      <c r="AG37" s="59"/>
      <c r="AH37" s="57"/>
      <c r="AI37" s="57"/>
      <c r="AJ37" s="57"/>
      <c r="AK37" s="57"/>
      <c r="AL37" s="57"/>
      <c r="AW37" s="41"/>
      <c r="AX37" s="41"/>
      <c r="AY37" s="55"/>
    </row>
    <row r="38" spans="1:51" ht="14.45">
      <c r="C38" s="61"/>
      <c r="AC38" s="59"/>
      <c r="AD38" s="59"/>
      <c r="AE38" s="59"/>
      <c r="AF38" s="59"/>
      <c r="AG38" s="59"/>
    </row>
    <row r="39" spans="1:51" ht="14.45">
      <c r="C39" s="61"/>
      <c r="AC39" s="59"/>
      <c r="AD39" s="59"/>
      <c r="AE39" s="59"/>
      <c r="AF39" s="59"/>
      <c r="AG39" s="59"/>
    </row>
    <row r="40" spans="1:51" ht="14.45">
      <c r="C40" s="61"/>
      <c r="AC40" s="59"/>
      <c r="AD40" s="59"/>
      <c r="AE40" s="59"/>
      <c r="AF40" s="59"/>
      <c r="AG40" s="59"/>
    </row>
    <row r="41" spans="1:51" ht="14.45">
      <c r="C41" s="61"/>
      <c r="AC41" s="59"/>
      <c r="AD41" s="59"/>
      <c r="AE41" s="59"/>
      <c r="AF41" s="59"/>
      <c r="AG41" s="59"/>
    </row>
    <row r="42" spans="1:51" ht="14.45">
      <c r="A42" s="86"/>
      <c r="B42" s="86"/>
      <c r="C42" s="85"/>
      <c r="D42" s="58"/>
      <c r="AC42" s="59"/>
      <c r="AD42" s="59"/>
      <c r="AE42" s="59"/>
      <c r="AF42" s="59"/>
      <c r="AG42" s="59"/>
    </row>
    <row r="43" spans="1:51" ht="14.45">
      <c r="A43" s="86"/>
      <c r="B43" s="86"/>
      <c r="C43" s="85"/>
      <c r="D43" s="58"/>
      <c r="AC43" s="59"/>
      <c r="AD43" s="59"/>
      <c r="AE43" s="59"/>
      <c r="AF43" s="59"/>
      <c r="AG43" s="59"/>
    </row>
    <row r="44" spans="1:51" ht="14.45">
      <c r="A44" s="86"/>
      <c r="B44" s="86"/>
      <c r="C44" s="85"/>
      <c r="D44" s="58"/>
      <c r="AC44" s="59"/>
      <c r="AD44" s="59"/>
      <c r="AE44" s="59"/>
      <c r="AF44" s="59"/>
      <c r="AG44" s="59"/>
    </row>
    <row r="45" spans="1:51" ht="14.45">
      <c r="A45" s="86"/>
      <c r="B45" s="86"/>
      <c r="C45" s="85"/>
      <c r="D45" s="58"/>
      <c r="AC45" s="59"/>
      <c r="AD45" s="59"/>
      <c r="AE45" s="59"/>
      <c r="AF45" s="59"/>
      <c r="AG45" s="59"/>
    </row>
    <row r="46" spans="1:51" ht="14.45">
      <c r="A46" s="86"/>
      <c r="B46" s="86"/>
      <c r="C46" s="85"/>
      <c r="D46" s="58"/>
      <c r="AC46" s="59"/>
      <c r="AD46" s="59"/>
      <c r="AE46" s="59"/>
      <c r="AF46" s="59"/>
      <c r="AG46" s="59"/>
    </row>
    <row r="47" spans="1:51" ht="14.45">
      <c r="A47" s="86"/>
      <c r="B47" s="86"/>
      <c r="C47" s="85"/>
      <c r="D47" s="58"/>
      <c r="AC47" s="59"/>
      <c r="AD47" s="59"/>
      <c r="AE47" s="59"/>
      <c r="AF47" s="59"/>
      <c r="AG47" s="59"/>
    </row>
    <row r="48" spans="1:51" ht="14.45">
      <c r="A48" s="84"/>
      <c r="B48" s="84"/>
      <c r="C48" s="83"/>
      <c r="D48" s="82"/>
      <c r="AC48" s="59"/>
      <c r="AD48" s="59"/>
      <c r="AE48" s="59"/>
      <c r="AF48" s="59"/>
      <c r="AG48" s="59"/>
    </row>
    <row r="49" spans="1:33" ht="14.45">
      <c r="A49" s="84"/>
      <c r="B49" s="84"/>
      <c r="C49" s="83"/>
      <c r="D49" s="82"/>
      <c r="AC49" s="59"/>
      <c r="AD49" s="59"/>
      <c r="AE49" s="59"/>
      <c r="AF49" s="59"/>
      <c r="AG49" s="59"/>
    </row>
    <row r="50" spans="1:33" ht="14.45">
      <c r="A50" s="84"/>
      <c r="B50" s="84"/>
      <c r="C50" s="83"/>
      <c r="D50" s="82"/>
      <c r="AC50" s="59"/>
      <c r="AD50" s="59"/>
      <c r="AE50" s="59"/>
      <c r="AF50" s="59"/>
      <c r="AG50" s="59"/>
    </row>
    <row r="51" spans="1:33" ht="14.45">
      <c r="A51" s="84"/>
      <c r="B51" s="84"/>
      <c r="C51" s="83"/>
      <c r="D51" s="82"/>
      <c r="AC51" s="59"/>
      <c r="AD51" s="59"/>
      <c r="AE51" s="59"/>
      <c r="AF51" s="59"/>
      <c r="AG51" s="59"/>
    </row>
    <row r="52" spans="1:33" ht="14.45">
      <c r="A52" s="84"/>
      <c r="B52" s="84"/>
      <c r="C52" s="83"/>
      <c r="D52" s="82"/>
      <c r="AC52" s="59"/>
      <c r="AD52" s="59"/>
      <c r="AE52" s="59"/>
      <c r="AF52" s="59"/>
      <c r="AG52" s="59"/>
    </row>
    <row r="53" spans="1:33" ht="14.45">
      <c r="A53" s="84"/>
      <c r="B53" s="84"/>
      <c r="C53" s="83"/>
      <c r="D53" s="82"/>
      <c r="AC53" s="59"/>
      <c r="AD53" s="59"/>
      <c r="AE53" s="59"/>
      <c r="AF53" s="59"/>
      <c r="AG53" s="59"/>
    </row>
    <row r="54" spans="1:33" ht="14.45">
      <c r="A54" s="84"/>
      <c r="B54" s="84"/>
      <c r="C54" s="83"/>
      <c r="D54" s="82"/>
      <c r="AC54" s="59"/>
      <c r="AD54" s="59"/>
      <c r="AE54" s="59"/>
      <c r="AF54" s="59"/>
      <c r="AG54" s="59"/>
    </row>
    <row r="55" spans="1:33" ht="14.45">
      <c r="A55" s="84"/>
      <c r="B55" s="84"/>
      <c r="C55" s="83"/>
      <c r="D55" s="82"/>
      <c r="AC55" s="59"/>
      <c r="AD55" s="59"/>
      <c r="AE55" s="59"/>
      <c r="AF55" s="59"/>
      <c r="AG55" s="59"/>
    </row>
    <row r="56" spans="1:33" ht="14.45">
      <c r="A56" s="84"/>
      <c r="B56" s="84"/>
      <c r="C56" s="83"/>
      <c r="D56" s="82"/>
      <c r="AC56" s="59"/>
      <c r="AD56" s="59"/>
      <c r="AE56" s="59"/>
      <c r="AF56" s="59"/>
      <c r="AG56" s="59"/>
    </row>
    <row r="57" spans="1:33" ht="14.45">
      <c r="A57" s="84"/>
      <c r="B57" s="84"/>
      <c r="C57" s="83"/>
      <c r="D57" s="82"/>
      <c r="AC57" s="59"/>
      <c r="AD57" s="59"/>
      <c r="AE57" s="59"/>
      <c r="AF57" s="59"/>
      <c r="AG57" s="59"/>
    </row>
    <row r="58" spans="1:33" ht="14.45">
      <c r="A58" s="84"/>
      <c r="B58" s="84"/>
      <c r="C58" s="83"/>
      <c r="D58" s="82"/>
      <c r="AC58" s="59"/>
      <c r="AD58" s="59"/>
      <c r="AE58" s="59"/>
      <c r="AF58" s="59"/>
      <c r="AG58" s="59"/>
    </row>
    <row r="59" spans="1:33" ht="14.45">
      <c r="A59" s="84"/>
      <c r="B59" s="84"/>
      <c r="C59" s="83"/>
      <c r="D59" s="82"/>
      <c r="AC59" s="59"/>
      <c r="AD59" s="59"/>
      <c r="AE59" s="59"/>
      <c r="AF59" s="59"/>
      <c r="AG59" s="59"/>
    </row>
    <row r="60" spans="1:33" ht="14.45">
      <c r="A60" s="84"/>
      <c r="B60" s="84"/>
      <c r="C60" s="83"/>
      <c r="D60" s="82"/>
      <c r="AC60" s="59"/>
      <c r="AD60" s="59"/>
      <c r="AE60" s="59"/>
      <c r="AF60" s="59"/>
      <c r="AG60" s="59"/>
    </row>
    <row r="61" spans="1:33" ht="14.45">
      <c r="A61" s="84"/>
      <c r="B61" s="84"/>
      <c r="C61" s="83"/>
      <c r="D61" s="82"/>
      <c r="AC61" s="59"/>
      <c r="AD61" s="59"/>
      <c r="AE61" s="59"/>
      <c r="AF61" s="59"/>
      <c r="AG61" s="59"/>
    </row>
    <row r="62" spans="1:33" ht="14.45">
      <c r="A62" s="84"/>
      <c r="B62" s="84"/>
      <c r="C62" s="83"/>
      <c r="D62" s="82"/>
      <c r="AC62" s="59"/>
      <c r="AD62" s="59"/>
      <c r="AE62" s="59"/>
      <c r="AF62" s="59"/>
      <c r="AG62" s="59"/>
    </row>
    <row r="63" spans="1:33" ht="14.45">
      <c r="A63" s="84"/>
      <c r="B63" s="84"/>
      <c r="C63" s="83"/>
      <c r="D63" s="82"/>
      <c r="AC63" s="59"/>
      <c r="AD63" s="59"/>
      <c r="AE63" s="59"/>
      <c r="AF63" s="59"/>
      <c r="AG63" s="59"/>
    </row>
    <row r="64" spans="1:33" ht="14.45">
      <c r="A64" s="84"/>
      <c r="B64" s="84"/>
      <c r="C64" s="83"/>
      <c r="D64" s="82"/>
      <c r="AC64" s="59"/>
      <c r="AD64" s="59"/>
      <c r="AE64" s="59"/>
      <c r="AF64" s="59"/>
      <c r="AG64" s="59"/>
    </row>
    <row r="65" spans="1:33" ht="14.45">
      <c r="A65" s="84"/>
      <c r="B65" s="84"/>
      <c r="C65" s="83"/>
      <c r="D65" s="82"/>
      <c r="AC65" s="59"/>
      <c r="AD65" s="59"/>
      <c r="AE65" s="59"/>
      <c r="AF65" s="59"/>
      <c r="AG65" s="59"/>
    </row>
    <row r="66" spans="1:33" ht="14.45">
      <c r="A66" s="84"/>
      <c r="B66" s="84"/>
      <c r="C66" s="83"/>
      <c r="D66" s="82"/>
      <c r="AC66" s="59"/>
      <c r="AD66" s="59"/>
      <c r="AE66" s="59"/>
      <c r="AF66" s="59"/>
      <c r="AG66" s="59"/>
    </row>
    <row r="67" spans="1:33" ht="14.45">
      <c r="A67" s="84"/>
      <c r="B67" s="84"/>
      <c r="C67" s="83"/>
      <c r="D67" s="82"/>
      <c r="AC67" s="59"/>
      <c r="AD67" s="59"/>
      <c r="AE67" s="59"/>
      <c r="AF67" s="59"/>
      <c r="AG67" s="59"/>
    </row>
    <row r="68" spans="1:33" ht="14.45">
      <c r="A68" s="84"/>
      <c r="B68" s="84"/>
      <c r="C68" s="83"/>
      <c r="D68" s="82"/>
      <c r="AC68" s="59"/>
      <c r="AD68" s="59"/>
      <c r="AE68" s="59"/>
      <c r="AF68" s="59"/>
      <c r="AG68" s="59"/>
    </row>
    <row r="69" spans="1:33" ht="14.45">
      <c r="A69" s="84"/>
      <c r="B69" s="84"/>
      <c r="C69" s="83"/>
      <c r="D69" s="82"/>
      <c r="AC69" s="59"/>
      <c r="AD69" s="59"/>
      <c r="AE69" s="59"/>
      <c r="AF69" s="59"/>
      <c r="AG69" s="59"/>
    </row>
    <row r="70" spans="1:33" ht="14.45">
      <c r="A70" s="84"/>
      <c r="B70" s="84"/>
      <c r="C70" s="83"/>
      <c r="D70" s="82"/>
      <c r="AC70" s="59"/>
      <c r="AD70" s="59"/>
      <c r="AE70" s="59"/>
      <c r="AF70" s="59"/>
      <c r="AG70" s="59"/>
    </row>
    <row r="71" spans="1:33" ht="14.45">
      <c r="A71" s="84"/>
      <c r="B71" s="84"/>
      <c r="C71" s="83"/>
      <c r="D71" s="82"/>
      <c r="AC71" s="59"/>
      <c r="AD71" s="59"/>
      <c r="AE71" s="59"/>
      <c r="AF71" s="59"/>
      <c r="AG71" s="59"/>
    </row>
    <row r="72" spans="1:33" ht="14.45">
      <c r="A72" s="84"/>
      <c r="B72" s="84"/>
      <c r="C72" s="83"/>
      <c r="D72" s="82"/>
      <c r="AC72" s="59"/>
      <c r="AD72" s="59"/>
      <c r="AE72" s="59"/>
      <c r="AF72" s="59"/>
      <c r="AG72" s="59"/>
    </row>
    <row r="73" spans="1:33" ht="14.45">
      <c r="A73" s="84"/>
      <c r="B73" s="84"/>
      <c r="C73" s="83"/>
      <c r="D73" s="82"/>
      <c r="AC73" s="59"/>
      <c r="AD73" s="59"/>
      <c r="AE73" s="59"/>
      <c r="AF73" s="59"/>
      <c r="AG73" s="59"/>
    </row>
    <row r="74" spans="1:33" ht="14.45">
      <c r="A74" s="84"/>
      <c r="B74" s="84"/>
      <c r="C74" s="83"/>
      <c r="D74" s="82"/>
      <c r="AC74" s="59"/>
      <c r="AD74" s="59"/>
      <c r="AE74" s="59"/>
      <c r="AF74" s="59"/>
      <c r="AG74" s="59"/>
    </row>
    <row r="75" spans="1:33" ht="14.45">
      <c r="A75" s="84"/>
      <c r="B75" s="84"/>
      <c r="C75" s="83"/>
      <c r="D75" s="82"/>
      <c r="AC75" s="59"/>
      <c r="AD75" s="59"/>
      <c r="AE75" s="59"/>
      <c r="AF75" s="59"/>
      <c r="AG75" s="59"/>
    </row>
    <row r="76" spans="1:33" ht="14.45">
      <c r="A76" s="84"/>
      <c r="B76" s="84"/>
      <c r="C76" s="83"/>
      <c r="D76" s="82"/>
      <c r="AC76" s="59"/>
      <c r="AD76" s="59"/>
      <c r="AE76" s="59"/>
      <c r="AF76" s="59"/>
      <c r="AG76" s="59"/>
    </row>
    <row r="77" spans="1:33" ht="14.45">
      <c r="A77" s="84"/>
      <c r="B77" s="84"/>
      <c r="C77" s="83"/>
      <c r="D77" s="82"/>
      <c r="AC77" s="59"/>
      <c r="AD77" s="59"/>
      <c r="AE77" s="59"/>
      <c r="AF77" s="59"/>
      <c r="AG77" s="59"/>
    </row>
    <row r="78" spans="1:33" ht="14.45">
      <c r="A78" s="84"/>
      <c r="B78" s="84"/>
      <c r="C78" s="83"/>
      <c r="D78" s="82"/>
      <c r="AC78" s="59"/>
      <c r="AD78" s="59"/>
      <c r="AE78" s="59"/>
      <c r="AF78" s="59"/>
      <c r="AG78" s="59"/>
    </row>
    <row r="79" spans="1:33" ht="14.45">
      <c r="A79" s="84"/>
      <c r="B79" s="84"/>
      <c r="C79" s="83"/>
      <c r="D79" s="82"/>
      <c r="AC79" s="59"/>
      <c r="AD79" s="59"/>
      <c r="AE79" s="59"/>
      <c r="AF79" s="59"/>
      <c r="AG79" s="59"/>
    </row>
    <row r="80" spans="1:33" ht="14.45">
      <c r="A80" s="84"/>
      <c r="B80" s="84"/>
      <c r="C80" s="83"/>
      <c r="D80" s="82"/>
      <c r="AC80" s="59"/>
      <c r="AD80" s="59"/>
      <c r="AE80" s="59"/>
      <c r="AF80" s="59"/>
      <c r="AG80" s="59"/>
    </row>
    <row r="81" spans="1:33" ht="14.45">
      <c r="A81" s="84"/>
      <c r="B81" s="84"/>
      <c r="C81" s="83"/>
      <c r="D81" s="82"/>
      <c r="AC81" s="59"/>
      <c r="AD81" s="59"/>
      <c r="AE81" s="59"/>
      <c r="AF81" s="59"/>
      <c r="AG81" s="59"/>
    </row>
    <row r="82" spans="1:33" ht="14.45">
      <c r="A82" s="84"/>
      <c r="B82" s="84"/>
      <c r="C82" s="83"/>
      <c r="D82" s="82"/>
      <c r="AC82" s="59"/>
      <c r="AD82" s="59"/>
      <c r="AE82" s="59"/>
      <c r="AF82" s="59"/>
      <c r="AG82" s="59"/>
    </row>
    <row r="83" spans="1:33" ht="14.45">
      <c r="A83" s="84"/>
      <c r="B83" s="84"/>
      <c r="C83" s="83"/>
      <c r="D83" s="82"/>
      <c r="AC83" s="59"/>
      <c r="AD83" s="59"/>
      <c r="AE83" s="59"/>
      <c r="AF83" s="59"/>
      <c r="AG83" s="59"/>
    </row>
    <row r="84" spans="1:33" ht="14.45">
      <c r="C84" s="61"/>
      <c r="AC84" s="59"/>
      <c r="AD84" s="59"/>
      <c r="AE84" s="59"/>
      <c r="AF84" s="59"/>
      <c r="AG84" s="59"/>
    </row>
    <row r="85" spans="1:33" ht="14.45">
      <c r="C85" s="61"/>
      <c r="AC85" s="59"/>
      <c r="AD85" s="59"/>
      <c r="AE85" s="59"/>
      <c r="AF85" s="59"/>
      <c r="AG85" s="59"/>
    </row>
    <row r="86" spans="1:33" ht="14.45">
      <c r="C86" s="61"/>
      <c r="AC86" s="59"/>
      <c r="AD86" s="59"/>
      <c r="AE86" s="59"/>
      <c r="AF86" s="59"/>
      <c r="AG86" s="59"/>
    </row>
    <row r="87" spans="1:33" ht="14.45">
      <c r="C87" s="61"/>
      <c r="AC87" s="59"/>
      <c r="AD87" s="59"/>
      <c r="AE87" s="59"/>
      <c r="AF87" s="59"/>
      <c r="AG87" s="59"/>
    </row>
    <row r="88" spans="1:33" ht="14.45">
      <c r="C88" s="61"/>
      <c r="AC88" s="59"/>
      <c r="AD88" s="59"/>
      <c r="AE88" s="59"/>
      <c r="AF88" s="59"/>
      <c r="AG88" s="59"/>
    </row>
    <row r="89" spans="1:33" ht="14.45">
      <c r="C89" s="61"/>
      <c r="AC89" s="59"/>
      <c r="AD89" s="59"/>
      <c r="AE89" s="59"/>
      <c r="AF89" s="59"/>
      <c r="AG89" s="59"/>
    </row>
    <row r="90" spans="1:33" ht="14.45">
      <c r="C90" s="61"/>
      <c r="AC90" s="59"/>
      <c r="AD90" s="59"/>
      <c r="AE90" s="59"/>
      <c r="AF90" s="59"/>
      <c r="AG90" s="59"/>
    </row>
    <row r="91" spans="1:33" ht="14.45">
      <c r="C91" s="61"/>
      <c r="AC91" s="59"/>
      <c r="AD91" s="59"/>
      <c r="AE91" s="59"/>
      <c r="AF91" s="59"/>
      <c r="AG91" s="59"/>
    </row>
    <row r="92" spans="1:33" ht="14.45">
      <c r="C92" s="61"/>
      <c r="AC92" s="59"/>
      <c r="AD92" s="59"/>
      <c r="AE92" s="59"/>
      <c r="AF92" s="59"/>
      <c r="AG92" s="59"/>
    </row>
    <row r="93" spans="1:33" ht="14.45">
      <c r="C93" s="61"/>
      <c r="AC93" s="59"/>
      <c r="AD93" s="59"/>
      <c r="AE93" s="59"/>
      <c r="AF93" s="59"/>
      <c r="AG93" s="59"/>
    </row>
    <row r="94" spans="1:33" ht="14.45">
      <c r="C94" s="61"/>
      <c r="AC94" s="59"/>
      <c r="AD94" s="59"/>
      <c r="AE94" s="59"/>
      <c r="AF94" s="59"/>
      <c r="AG94" s="59"/>
    </row>
    <row r="95" spans="1:33" ht="14.45">
      <c r="C95" s="61"/>
      <c r="AC95" s="59"/>
      <c r="AD95" s="59"/>
      <c r="AE95" s="59"/>
      <c r="AF95" s="59"/>
      <c r="AG95" s="59"/>
    </row>
    <row r="96" spans="1:33" ht="14.45">
      <c r="C96" s="61"/>
      <c r="AC96" s="59"/>
      <c r="AD96" s="59"/>
      <c r="AE96" s="59"/>
      <c r="AF96" s="59"/>
      <c r="AG96" s="59"/>
    </row>
    <row r="97" spans="3:33" ht="14.45">
      <c r="C97" s="61"/>
      <c r="AC97" s="59"/>
      <c r="AD97" s="59"/>
      <c r="AE97" s="59"/>
      <c r="AF97" s="59"/>
      <c r="AG97" s="59"/>
    </row>
    <row r="98" spans="3:33" ht="14.45">
      <c r="C98" s="61"/>
      <c r="AC98" s="59"/>
      <c r="AD98" s="59"/>
      <c r="AE98" s="59"/>
      <c r="AF98" s="59"/>
      <c r="AG98" s="59"/>
    </row>
    <row r="99" spans="3:33" ht="14.45">
      <c r="C99" s="61"/>
      <c r="AC99" s="59"/>
      <c r="AD99" s="59"/>
      <c r="AE99" s="59"/>
      <c r="AF99" s="59"/>
      <c r="AG99" s="59"/>
    </row>
    <row r="100" spans="3:33" ht="14.45">
      <c r="C100" s="61"/>
      <c r="AC100" s="59"/>
      <c r="AD100" s="59"/>
      <c r="AE100" s="59"/>
      <c r="AF100" s="59"/>
      <c r="AG100" s="59"/>
    </row>
    <row r="101" spans="3:33" ht="14.45">
      <c r="C101" s="61"/>
      <c r="AC101" s="59"/>
      <c r="AD101" s="59"/>
      <c r="AE101" s="59"/>
      <c r="AF101" s="59"/>
      <c r="AG101" s="59"/>
    </row>
    <row r="102" spans="3:33" ht="14.45">
      <c r="C102" s="61"/>
      <c r="AC102" s="59"/>
      <c r="AD102" s="59"/>
      <c r="AE102" s="59"/>
      <c r="AF102" s="59"/>
      <c r="AG102" s="59"/>
    </row>
    <row r="103" spans="3:33" ht="14.45">
      <c r="C103" s="61"/>
      <c r="AC103" s="59"/>
      <c r="AD103" s="59"/>
      <c r="AE103" s="59"/>
      <c r="AF103" s="59"/>
      <c r="AG103" s="59"/>
    </row>
    <row r="104" spans="3:33" ht="14.45">
      <c r="C104" s="61"/>
      <c r="AC104" s="59"/>
      <c r="AD104" s="59"/>
      <c r="AE104" s="59"/>
      <c r="AF104" s="59"/>
      <c r="AG104" s="59"/>
    </row>
    <row r="105" spans="3:33" ht="14.45">
      <c r="C105" s="61"/>
      <c r="AC105" s="59"/>
      <c r="AD105" s="59"/>
      <c r="AE105" s="59"/>
      <c r="AF105" s="59"/>
      <c r="AG105" s="59"/>
    </row>
    <row r="106" spans="3:33" ht="14.45">
      <c r="C106" s="61"/>
      <c r="AC106" s="59"/>
      <c r="AD106" s="59"/>
      <c r="AE106" s="59"/>
      <c r="AF106" s="59"/>
      <c r="AG106" s="59"/>
    </row>
    <row r="107" spans="3:33" ht="14.45">
      <c r="C107" s="61"/>
      <c r="AC107" s="59"/>
      <c r="AD107" s="59"/>
      <c r="AE107" s="59"/>
      <c r="AF107" s="59"/>
      <c r="AG107" s="59"/>
    </row>
    <row r="108" spans="3:33" ht="14.45">
      <c r="C108" s="61"/>
      <c r="AC108" s="59"/>
      <c r="AD108" s="59"/>
      <c r="AE108" s="59"/>
      <c r="AF108" s="59"/>
      <c r="AG108" s="59"/>
    </row>
    <row r="109" spans="3:33" ht="14.45">
      <c r="C109" s="61"/>
      <c r="AC109" s="59"/>
      <c r="AD109" s="59"/>
      <c r="AE109" s="59"/>
      <c r="AF109" s="59"/>
      <c r="AG109" s="59"/>
    </row>
    <row r="110" spans="3:33" ht="14.45">
      <c r="C110" s="61"/>
      <c r="AC110" s="59"/>
      <c r="AD110" s="59"/>
      <c r="AE110" s="59"/>
      <c r="AF110" s="59"/>
      <c r="AG110" s="59"/>
    </row>
    <row r="111" spans="3:33" ht="14.45">
      <c r="C111" s="61"/>
      <c r="AC111" s="59"/>
      <c r="AD111" s="59"/>
      <c r="AE111" s="59"/>
      <c r="AF111" s="59"/>
      <c r="AG111" s="59"/>
    </row>
    <row r="112" spans="3:33" ht="14.45">
      <c r="C112" s="61"/>
      <c r="AC112" s="59"/>
      <c r="AD112" s="59"/>
      <c r="AE112" s="59"/>
      <c r="AF112" s="59"/>
      <c r="AG112" s="59"/>
    </row>
    <row r="113" spans="3:33" ht="14.45">
      <c r="C113" s="61"/>
      <c r="AC113" s="59"/>
      <c r="AD113" s="59"/>
      <c r="AE113" s="59"/>
      <c r="AF113" s="59"/>
      <c r="AG113" s="59"/>
    </row>
    <row r="114" spans="3:33" ht="14.45">
      <c r="C114" s="61"/>
      <c r="AC114" s="59"/>
      <c r="AD114" s="59"/>
      <c r="AE114" s="59"/>
      <c r="AF114" s="59"/>
      <c r="AG114" s="59"/>
    </row>
    <row r="115" spans="3:33" ht="14.45">
      <c r="C115" s="61"/>
      <c r="AC115" s="59"/>
      <c r="AD115" s="59"/>
      <c r="AE115" s="59"/>
      <c r="AF115" s="59"/>
      <c r="AG115" s="59"/>
    </row>
    <row r="116" spans="3:33" ht="14.45">
      <c r="C116" s="61"/>
      <c r="AC116" s="59"/>
      <c r="AD116" s="59"/>
      <c r="AE116" s="59"/>
      <c r="AF116" s="59"/>
      <c r="AG116" s="59"/>
    </row>
    <row r="117" spans="3:33" ht="14.45">
      <c r="C117" s="61"/>
      <c r="AC117" s="59"/>
      <c r="AD117" s="59"/>
      <c r="AE117" s="59"/>
      <c r="AF117" s="59"/>
      <c r="AG117" s="59"/>
    </row>
    <row r="118" spans="3:33" ht="14.45">
      <c r="C118" s="61"/>
      <c r="AC118" s="59"/>
      <c r="AD118" s="59"/>
      <c r="AE118" s="59"/>
      <c r="AF118" s="59"/>
      <c r="AG118" s="59"/>
    </row>
    <row r="119" spans="3:33" ht="14.45">
      <c r="C119" s="61"/>
      <c r="AC119" s="59"/>
      <c r="AD119" s="59"/>
      <c r="AE119" s="59"/>
      <c r="AF119" s="59"/>
      <c r="AG119" s="59"/>
    </row>
    <row r="120" spans="3:33" ht="14.45">
      <c r="C120" s="61"/>
      <c r="AC120" s="59"/>
      <c r="AD120" s="59"/>
      <c r="AE120" s="59"/>
      <c r="AF120" s="59"/>
      <c r="AG120" s="59"/>
    </row>
    <row r="121" spans="3:33" ht="14.45">
      <c r="C121" s="61"/>
      <c r="AC121" s="59"/>
      <c r="AD121" s="59"/>
      <c r="AE121" s="59"/>
      <c r="AF121" s="59"/>
      <c r="AG121" s="59"/>
    </row>
    <row r="122" spans="3:33" ht="14.45">
      <c r="C122" s="61"/>
      <c r="AC122" s="59"/>
      <c r="AD122" s="59"/>
      <c r="AE122" s="59"/>
      <c r="AF122" s="59"/>
      <c r="AG122" s="59"/>
    </row>
    <row r="123" spans="3:33" ht="14.45">
      <c r="C123" s="61"/>
    </row>
    <row r="124" spans="3:33" ht="14.45">
      <c r="C124" s="61"/>
    </row>
    <row r="125" spans="3:33" ht="14.45">
      <c r="C125" s="61"/>
    </row>
    <row r="126" spans="3:33" ht="14.45">
      <c r="C126" s="61"/>
    </row>
    <row r="127" spans="3:33" ht="14.45">
      <c r="C127" s="61"/>
    </row>
    <row r="128" spans="3:33" ht="14.45">
      <c r="C128" s="61"/>
    </row>
    <row r="129" spans="3:54" ht="14.45">
      <c r="C129" s="61"/>
    </row>
    <row r="130" spans="3:54" ht="14.45">
      <c r="C130" s="61"/>
    </row>
    <row r="131" spans="3:54" ht="14.45">
      <c r="C131" s="61"/>
    </row>
    <row r="132" spans="3:54" ht="14.45">
      <c r="C132" s="61"/>
    </row>
    <row r="133" spans="3:54" ht="14.45">
      <c r="C133" s="61"/>
    </row>
    <row r="134" spans="3:54" ht="14.45">
      <c r="C134" s="61"/>
      <c r="AU134" s="62"/>
      <c r="AV134" s="62"/>
      <c r="AW134" s="64"/>
      <c r="AX134" s="64"/>
      <c r="AY134" s="63"/>
      <c r="AZ134" s="62"/>
      <c r="BA134" s="62"/>
      <c r="BB134" s="62"/>
    </row>
    <row r="135" spans="3:54" ht="14.45">
      <c r="C135" s="61"/>
      <c r="AU135" s="62"/>
      <c r="AV135" s="62"/>
      <c r="AW135" s="64"/>
      <c r="AX135" s="64"/>
      <c r="AY135" s="63"/>
      <c r="AZ135" s="62"/>
      <c r="BA135" s="62"/>
      <c r="BB135" s="62"/>
    </row>
    <row r="136" spans="3:54" ht="15.6">
      <c r="C136" s="61"/>
      <c r="AU136" s="62"/>
      <c r="AV136" s="76" t="s">
        <v>0</v>
      </c>
      <c r="AW136" s="75"/>
      <c r="AX136" s="81"/>
      <c r="AY136" s="63"/>
      <c r="AZ136" s="62"/>
      <c r="BA136" s="62"/>
      <c r="BB136" s="62"/>
    </row>
    <row r="137" spans="3:54" ht="15.6">
      <c r="C137" s="61"/>
      <c r="AU137" s="62"/>
      <c r="AV137" s="37"/>
      <c r="AW137" s="79">
        <v>3</v>
      </c>
      <c r="AX137" s="78">
        <v>5</v>
      </c>
      <c r="AY137" s="77" t="s">
        <v>1</v>
      </c>
      <c r="AZ137" s="62"/>
      <c r="BA137" s="62"/>
      <c r="BB137" s="62"/>
    </row>
    <row r="138" spans="3:54" ht="15.6">
      <c r="C138" s="61"/>
      <c r="AU138" s="62"/>
      <c r="AV138" s="37"/>
      <c r="AW138" s="79">
        <v>2</v>
      </c>
      <c r="AX138" s="78">
        <v>2</v>
      </c>
      <c r="AY138" s="77" t="s">
        <v>2</v>
      </c>
      <c r="AZ138" s="62"/>
      <c r="BA138" s="62"/>
      <c r="BB138" s="62"/>
    </row>
    <row r="139" spans="3:54" ht="15.6">
      <c r="C139" s="61"/>
      <c r="AU139" s="62"/>
      <c r="AV139" s="37"/>
      <c r="AW139" s="79">
        <v>1</v>
      </c>
      <c r="AX139" s="78">
        <v>4</v>
      </c>
      <c r="AY139" s="77" t="s">
        <v>3</v>
      </c>
      <c r="AZ139" s="62"/>
      <c r="BA139" s="62"/>
      <c r="BB139" s="62"/>
    </row>
    <row r="140" spans="3:54" ht="14.45">
      <c r="C140" s="61"/>
      <c r="AU140" s="62"/>
      <c r="AV140" s="37"/>
      <c r="AW140" s="80"/>
      <c r="AX140" s="38"/>
      <c r="AY140" s="74"/>
      <c r="AZ140" s="62"/>
      <c r="BA140" s="62"/>
      <c r="BB140" s="62"/>
    </row>
    <row r="141" spans="3:54" ht="15.6">
      <c r="C141" s="61"/>
      <c r="AU141" s="62"/>
      <c r="AV141" s="76" t="s">
        <v>4</v>
      </c>
      <c r="AW141" s="75"/>
      <c r="AX141" s="75"/>
      <c r="AY141" s="74"/>
      <c r="AZ141" s="62"/>
      <c r="BA141" s="62"/>
      <c r="BB141" s="62"/>
    </row>
    <row r="142" spans="3:54" ht="15.6">
      <c r="C142" s="61"/>
      <c r="AU142" s="62"/>
      <c r="AV142" s="37"/>
      <c r="AW142" s="79">
        <v>3</v>
      </c>
      <c r="AX142" s="78">
        <v>7</v>
      </c>
      <c r="AY142" s="77" t="s">
        <v>5</v>
      </c>
      <c r="AZ142" s="62"/>
      <c r="BA142" s="62"/>
      <c r="BB142" s="62"/>
    </row>
    <row r="143" spans="3:54" ht="15.6">
      <c r="C143" s="61"/>
      <c r="AU143" s="62"/>
      <c r="AV143" s="37"/>
      <c r="AW143" s="79">
        <v>2</v>
      </c>
      <c r="AX143" s="78">
        <v>3</v>
      </c>
      <c r="AY143" s="77" t="s">
        <v>6</v>
      </c>
      <c r="AZ143" s="62"/>
      <c r="BA143" s="62"/>
      <c r="BB143" s="62"/>
    </row>
    <row r="144" spans="3:54" ht="15.6">
      <c r="C144" s="61"/>
      <c r="AU144" s="62"/>
      <c r="AV144" s="37"/>
      <c r="AW144" s="79">
        <v>1</v>
      </c>
      <c r="AX144" s="78">
        <v>1</v>
      </c>
      <c r="AY144" s="77" t="s">
        <v>7</v>
      </c>
      <c r="AZ144" s="62"/>
      <c r="BA144" s="62"/>
      <c r="BB144" s="62"/>
    </row>
    <row r="145" spans="3:54" ht="14.45">
      <c r="C145" s="61"/>
      <c r="AU145" s="62"/>
      <c r="AV145" s="37"/>
      <c r="AW145" s="80"/>
      <c r="AX145" s="38"/>
      <c r="AY145" s="74"/>
      <c r="AZ145" s="62"/>
      <c r="BA145" s="62"/>
      <c r="BB145" s="62"/>
    </row>
    <row r="146" spans="3:54" ht="15.6">
      <c r="C146" s="61"/>
      <c r="AU146" s="62"/>
      <c r="AV146" s="76" t="s">
        <v>8</v>
      </c>
      <c r="AW146" s="75"/>
      <c r="AX146" s="75"/>
      <c r="AY146" s="74"/>
      <c r="AZ146" s="62"/>
      <c r="BA146" s="62"/>
      <c r="BB146" s="62"/>
    </row>
    <row r="147" spans="3:54" ht="15.6">
      <c r="C147" s="61"/>
      <c r="AU147" s="62"/>
      <c r="AV147" s="37"/>
      <c r="AW147" s="79">
        <v>3</v>
      </c>
      <c r="AX147" s="78">
        <v>6</v>
      </c>
      <c r="AY147" s="77" t="s">
        <v>9</v>
      </c>
      <c r="AZ147" s="62"/>
      <c r="BA147" s="62"/>
      <c r="BB147" s="62"/>
    </row>
    <row r="148" spans="3:54" ht="15.6">
      <c r="C148" s="61"/>
      <c r="AU148" s="62"/>
      <c r="AV148" s="37"/>
      <c r="AW148" s="79">
        <v>2</v>
      </c>
      <c r="AX148" s="78">
        <v>8</v>
      </c>
      <c r="AY148" s="77" t="s">
        <v>10</v>
      </c>
      <c r="AZ148" s="62"/>
      <c r="BA148" s="62"/>
      <c r="BB148" s="62"/>
    </row>
    <row r="149" spans="3:54" ht="15.6">
      <c r="C149" s="61"/>
      <c r="AU149" s="62"/>
      <c r="AV149" s="37"/>
      <c r="AW149" s="79">
        <v>1</v>
      </c>
      <c r="AX149" s="78">
        <v>9</v>
      </c>
      <c r="AY149" s="77" t="s">
        <v>11</v>
      </c>
      <c r="AZ149" s="62"/>
      <c r="BA149" s="62"/>
      <c r="BB149" s="62"/>
    </row>
    <row r="150" spans="3:54" ht="14.45">
      <c r="C150" s="61"/>
      <c r="AU150" s="62"/>
      <c r="AV150" s="62"/>
      <c r="AW150" s="64"/>
      <c r="AX150" s="64"/>
      <c r="AY150" s="74"/>
      <c r="AZ150" s="62"/>
      <c r="BA150" s="62"/>
      <c r="BB150" s="62"/>
    </row>
    <row r="151" spans="3:54" ht="14.45">
      <c r="C151" s="61"/>
      <c r="AU151" s="62"/>
      <c r="AV151" s="62"/>
      <c r="AW151" s="64"/>
      <c r="AX151" s="64"/>
      <c r="AY151" s="74"/>
      <c r="AZ151" s="62"/>
      <c r="BA151" s="62"/>
      <c r="BB151" s="62"/>
    </row>
    <row r="152" spans="3:54" ht="15.6">
      <c r="C152" s="61"/>
      <c r="AU152" s="62"/>
      <c r="AV152" s="76" t="s">
        <v>12</v>
      </c>
      <c r="AW152" s="75"/>
      <c r="AX152" s="75"/>
      <c r="AY152" s="74"/>
      <c r="AZ152" s="62"/>
      <c r="BA152" s="62"/>
      <c r="BB152" s="62"/>
    </row>
    <row r="153" spans="3:54" ht="15.6">
      <c r="C153" s="61"/>
      <c r="AU153" s="62"/>
      <c r="AV153" s="37"/>
      <c r="AW153" s="73">
        <v>1</v>
      </c>
      <c r="AX153" s="72">
        <v>8</v>
      </c>
      <c r="AY153" s="71" t="s">
        <v>13</v>
      </c>
      <c r="AZ153" s="62"/>
      <c r="BA153" s="62"/>
      <c r="BB153" s="62"/>
    </row>
    <row r="154" spans="3:54" ht="15.6">
      <c r="C154" s="61"/>
      <c r="AU154" s="62"/>
      <c r="AV154" s="37"/>
      <c r="AW154" s="70">
        <v>7</v>
      </c>
      <c r="AX154" s="69">
        <v>6</v>
      </c>
      <c r="AY154" s="68" t="s">
        <v>14</v>
      </c>
      <c r="AZ154" s="62"/>
      <c r="BA154" s="62"/>
      <c r="BB154" s="62"/>
    </row>
    <row r="155" spans="3:54" ht="15.6">
      <c r="C155" s="61"/>
      <c r="AU155" s="62"/>
      <c r="AV155" s="37"/>
      <c r="AW155" s="67">
        <v>14</v>
      </c>
      <c r="AX155" s="66">
        <v>10</v>
      </c>
      <c r="AY155" s="65" t="s">
        <v>15</v>
      </c>
      <c r="AZ155" s="62"/>
      <c r="BA155" s="62"/>
      <c r="BB155" s="62"/>
    </row>
    <row r="156" spans="3:54" ht="14.45">
      <c r="C156" s="61"/>
      <c r="AU156" s="62"/>
      <c r="AV156" s="62"/>
      <c r="AW156" s="64"/>
      <c r="AX156" s="64"/>
      <c r="AY156" s="63"/>
      <c r="AZ156" s="62"/>
      <c r="BA156" s="62"/>
      <c r="BB156" s="62"/>
    </row>
    <row r="157" spans="3:54" ht="14.45">
      <c r="C157" s="61"/>
      <c r="AU157" s="62"/>
      <c r="AV157" s="62"/>
      <c r="AW157" s="64"/>
      <c r="AX157" s="64"/>
      <c r="AY157" s="63"/>
      <c r="AZ157" s="62"/>
      <c r="BA157" s="62"/>
      <c r="BB157" s="62"/>
    </row>
    <row r="158" spans="3:54" ht="14.45">
      <c r="C158" s="61"/>
      <c r="AU158" s="62"/>
      <c r="AV158" s="62"/>
      <c r="AW158" s="64"/>
      <c r="AX158" s="64"/>
      <c r="AY158" s="63"/>
      <c r="AZ158" s="62"/>
      <c r="BA158" s="62"/>
      <c r="BB158" s="62"/>
    </row>
    <row r="159" spans="3:54" ht="14.45">
      <c r="C159" s="61"/>
      <c r="AU159" s="62"/>
      <c r="AV159" s="62"/>
      <c r="AW159" s="64"/>
      <c r="AX159" s="64"/>
      <c r="AY159" s="63"/>
      <c r="AZ159" s="62"/>
      <c r="BA159" s="62"/>
      <c r="BB159" s="62"/>
    </row>
    <row r="160" spans="3:54" ht="14.45">
      <c r="C160" s="61"/>
      <c r="AU160" s="62"/>
      <c r="AV160" s="62"/>
      <c r="AW160" s="64"/>
      <c r="AX160" s="64"/>
      <c r="AY160" s="63"/>
      <c r="AZ160" s="62"/>
      <c r="BA160" s="62"/>
      <c r="BB160" s="62"/>
    </row>
    <row r="161" spans="3:54" ht="14.45">
      <c r="C161" s="61"/>
      <c r="AU161" s="62"/>
      <c r="AV161" s="62"/>
      <c r="AW161" s="64"/>
      <c r="AX161" s="64"/>
      <c r="AY161" s="63"/>
      <c r="AZ161" s="62"/>
      <c r="BA161" s="62"/>
      <c r="BB161" s="62"/>
    </row>
    <row r="162" spans="3:54" ht="14.45">
      <c r="C162" s="61"/>
    </row>
    <row r="163" spans="3:54" ht="14.45">
      <c r="C163" s="61"/>
    </row>
    <row r="164" spans="3:54" ht="14.45">
      <c r="C164" s="61"/>
    </row>
    <row r="165" spans="3:54" ht="14.45">
      <c r="C165" s="61"/>
    </row>
    <row r="166" spans="3:54" ht="14.45">
      <c r="C166" s="61"/>
    </row>
    <row r="167" spans="3:54" ht="14.45">
      <c r="C167" s="61"/>
    </row>
    <row r="168" spans="3:54" ht="14.45">
      <c r="C168" s="61"/>
    </row>
    <row r="169" spans="3:54" ht="0" hidden="1" customHeight="1">
      <c r="C169" s="61"/>
    </row>
    <row r="170" spans="3:54" ht="0" hidden="1" customHeight="1">
      <c r="C170" s="61"/>
    </row>
    <row r="171" spans="3:54" ht="0" hidden="1" customHeight="1">
      <c r="C171" s="61"/>
    </row>
    <row r="172" spans="3:54" ht="0" hidden="1" customHeight="1">
      <c r="C172" s="61"/>
    </row>
    <row r="173" spans="3:54" ht="0" hidden="1" customHeight="1">
      <c r="C173" s="61"/>
    </row>
    <row r="174" spans="3:54" ht="0" hidden="1" customHeight="1">
      <c r="C174" s="61"/>
    </row>
    <row r="175" spans="3:54" ht="0" hidden="1" customHeight="1">
      <c r="C175" s="61"/>
    </row>
    <row r="176" spans="3:54" ht="0" hidden="1" customHeight="1">
      <c r="C176" s="61"/>
    </row>
    <row r="177" spans="3:3" ht="0" hidden="1" customHeight="1">
      <c r="C177" s="61"/>
    </row>
    <row r="178" spans="3:3" ht="0" hidden="1" customHeight="1">
      <c r="C178" s="61"/>
    </row>
    <row r="179" spans="3:3" ht="0" hidden="1" customHeight="1">
      <c r="C179" s="61"/>
    </row>
    <row r="180" spans="3:3" ht="0" hidden="1" customHeight="1">
      <c r="C180" s="61"/>
    </row>
    <row r="181" spans="3:3" ht="0" hidden="1" customHeight="1">
      <c r="C181" s="61"/>
    </row>
    <row r="182" spans="3:3" ht="0" hidden="1" customHeight="1">
      <c r="C182" s="61"/>
    </row>
    <row r="183" spans="3:3" ht="0" hidden="1" customHeight="1">
      <c r="C183" s="61"/>
    </row>
    <row r="184" spans="3:3" ht="0" hidden="1" customHeight="1">
      <c r="C184" s="61"/>
    </row>
    <row r="185" spans="3:3" ht="0" hidden="1" customHeight="1">
      <c r="C185" s="61"/>
    </row>
    <row r="186" spans="3:3" ht="0" hidden="1" customHeight="1">
      <c r="C186" s="61"/>
    </row>
    <row r="187" spans="3:3" ht="0" hidden="1" customHeight="1">
      <c r="C187" s="61"/>
    </row>
    <row r="188" spans="3:3" ht="0" hidden="1" customHeight="1">
      <c r="C188" s="61"/>
    </row>
    <row r="189" spans="3:3" ht="0" hidden="1" customHeight="1">
      <c r="C189" s="61"/>
    </row>
    <row r="190" spans="3:3" ht="0" hidden="1" customHeight="1">
      <c r="C190" s="61"/>
    </row>
    <row r="191" spans="3:3" ht="0" hidden="1" customHeight="1">
      <c r="C191" s="61"/>
    </row>
    <row r="192" spans="3:3" ht="0" hidden="1" customHeight="1">
      <c r="C192" s="61"/>
    </row>
    <row r="193" spans="3:3" ht="0" hidden="1" customHeight="1">
      <c r="C193" s="61"/>
    </row>
    <row r="194" spans="3:3" ht="0" hidden="1" customHeight="1">
      <c r="C194" s="61"/>
    </row>
    <row r="195" spans="3:3" ht="0" hidden="1" customHeight="1">
      <c r="C195" s="61"/>
    </row>
    <row r="196" spans="3:3" ht="0" hidden="1" customHeight="1">
      <c r="C196" s="61"/>
    </row>
    <row r="197" spans="3:3" ht="0" hidden="1" customHeight="1">
      <c r="C197" s="61"/>
    </row>
    <row r="198" spans="3:3" ht="0" hidden="1" customHeight="1">
      <c r="C198" s="61"/>
    </row>
    <row r="199" spans="3:3" ht="0" hidden="1" customHeight="1">
      <c r="C199" s="61"/>
    </row>
    <row r="200" spans="3:3" ht="0" hidden="1" customHeight="1">
      <c r="C200" s="61"/>
    </row>
    <row r="201" spans="3:3" ht="0" hidden="1" customHeight="1">
      <c r="C201" s="61"/>
    </row>
    <row r="202" spans="3:3" ht="0" hidden="1" customHeight="1">
      <c r="C202" s="61"/>
    </row>
    <row r="203" spans="3:3" ht="0" hidden="1" customHeight="1">
      <c r="C203" s="61"/>
    </row>
    <row r="204" spans="3:3" ht="0" hidden="1" customHeight="1">
      <c r="C204" s="61"/>
    </row>
    <row r="205" spans="3:3" ht="0" hidden="1" customHeight="1">
      <c r="C205" s="61"/>
    </row>
    <row r="206" spans="3:3" ht="0" hidden="1" customHeight="1">
      <c r="C206" s="61"/>
    </row>
    <row r="207" spans="3:3" ht="0" hidden="1" customHeight="1">
      <c r="C207" s="61"/>
    </row>
    <row r="208" spans="3:3" ht="0" hidden="1" customHeight="1">
      <c r="C208" s="61"/>
    </row>
    <row r="209" spans="3:3" ht="0" hidden="1" customHeight="1">
      <c r="C209" s="61"/>
    </row>
    <row r="210" spans="3:3" ht="0" hidden="1" customHeight="1">
      <c r="C210" s="61"/>
    </row>
    <row r="211" spans="3:3" ht="0" hidden="1" customHeight="1">
      <c r="C211" s="61"/>
    </row>
    <row r="212" spans="3:3" ht="0" hidden="1" customHeight="1">
      <c r="C212" s="61"/>
    </row>
    <row r="213" spans="3:3" ht="0" hidden="1" customHeight="1">
      <c r="C213" s="61"/>
    </row>
    <row r="214" spans="3:3" ht="0" hidden="1" customHeight="1">
      <c r="C214" s="61"/>
    </row>
    <row r="215" spans="3:3" ht="0" hidden="1" customHeight="1">
      <c r="C215" s="61"/>
    </row>
    <row r="216" spans="3:3" ht="0" hidden="1" customHeight="1">
      <c r="C216" s="61"/>
    </row>
    <row r="217" spans="3:3" ht="0" hidden="1" customHeight="1">
      <c r="C217" s="61"/>
    </row>
    <row r="218" spans="3:3" ht="0" hidden="1" customHeight="1">
      <c r="C218" s="61"/>
    </row>
    <row r="219" spans="3:3" ht="0" hidden="1" customHeight="1">
      <c r="C219" s="61"/>
    </row>
    <row r="220" spans="3:3" ht="0" hidden="1" customHeight="1">
      <c r="C220" s="61"/>
    </row>
    <row r="221" spans="3:3" ht="0" hidden="1" customHeight="1">
      <c r="C221" s="61"/>
    </row>
    <row r="222" spans="3:3" ht="0" hidden="1" customHeight="1">
      <c r="C222" s="61"/>
    </row>
    <row r="223" spans="3:3" ht="0" hidden="1" customHeight="1">
      <c r="C223" s="61"/>
    </row>
    <row r="224" spans="3:3" ht="0" hidden="1" customHeight="1">
      <c r="C224" s="61"/>
    </row>
    <row r="225" spans="3:3" ht="0" hidden="1" customHeight="1">
      <c r="C225" s="61"/>
    </row>
    <row r="226" spans="3:3" ht="0" hidden="1" customHeight="1">
      <c r="C226" s="61"/>
    </row>
    <row r="227" spans="3:3" ht="0" hidden="1" customHeight="1">
      <c r="C227" s="61"/>
    </row>
    <row r="228" spans="3:3" ht="0" hidden="1" customHeight="1">
      <c r="C228" s="61"/>
    </row>
    <row r="229" spans="3:3" ht="0" hidden="1" customHeight="1">
      <c r="C229" s="61"/>
    </row>
    <row r="230" spans="3:3" ht="0" hidden="1" customHeight="1">
      <c r="C230" s="61"/>
    </row>
    <row r="231" spans="3:3" ht="0" hidden="1" customHeight="1">
      <c r="C231" s="61"/>
    </row>
    <row r="232" spans="3:3" ht="0" hidden="1" customHeight="1">
      <c r="C232" s="61"/>
    </row>
    <row r="233" spans="3:3" ht="0" hidden="1" customHeight="1">
      <c r="C233" s="61"/>
    </row>
    <row r="234" spans="3:3" ht="0" hidden="1" customHeight="1">
      <c r="C234" s="61"/>
    </row>
    <row r="235" spans="3:3" ht="0" hidden="1" customHeight="1">
      <c r="C235" s="61"/>
    </row>
    <row r="236" spans="3:3" ht="0" hidden="1" customHeight="1">
      <c r="C236" s="61"/>
    </row>
    <row r="237" spans="3:3" ht="0" hidden="1" customHeight="1">
      <c r="C237" s="61"/>
    </row>
    <row r="238" spans="3:3" ht="0" hidden="1" customHeight="1">
      <c r="C238" s="61"/>
    </row>
    <row r="239" spans="3:3" ht="0" hidden="1" customHeight="1">
      <c r="C239" s="61"/>
    </row>
    <row r="240" spans="3:3" ht="0" hidden="1" customHeight="1">
      <c r="C240" s="61"/>
    </row>
    <row r="241" spans="3:3" ht="0" hidden="1" customHeight="1">
      <c r="C241" s="61"/>
    </row>
    <row r="242" spans="3:3" ht="0" hidden="1" customHeight="1">
      <c r="C242" s="61"/>
    </row>
    <row r="243" spans="3:3" ht="0" hidden="1" customHeight="1">
      <c r="C243" s="61"/>
    </row>
    <row r="244" spans="3:3" ht="0" hidden="1" customHeight="1">
      <c r="C244" s="61"/>
    </row>
    <row r="245" spans="3:3" ht="0" hidden="1" customHeight="1">
      <c r="C245" s="61"/>
    </row>
    <row r="246" spans="3:3" ht="0" hidden="1" customHeight="1">
      <c r="C246" s="61"/>
    </row>
    <row r="247" spans="3:3" ht="0" hidden="1" customHeight="1">
      <c r="C247" s="61"/>
    </row>
    <row r="248" spans="3:3" ht="0" hidden="1" customHeight="1">
      <c r="C248" s="61"/>
    </row>
    <row r="249" spans="3:3" ht="0" hidden="1" customHeight="1">
      <c r="C249" s="61"/>
    </row>
    <row r="250" spans="3:3" ht="0" hidden="1" customHeight="1">
      <c r="C250" s="61"/>
    </row>
    <row r="251" spans="3:3" ht="0" hidden="1" customHeight="1">
      <c r="C251" s="61"/>
    </row>
    <row r="252" spans="3:3" ht="0" hidden="1" customHeight="1">
      <c r="C252" s="61"/>
    </row>
    <row r="253" spans="3:3" ht="0" hidden="1" customHeight="1">
      <c r="C253" s="61"/>
    </row>
    <row r="254" spans="3:3" ht="0" hidden="1" customHeight="1">
      <c r="C254" s="61"/>
    </row>
    <row r="255" spans="3:3" ht="0" hidden="1" customHeight="1">
      <c r="C255" s="61"/>
    </row>
    <row r="256" spans="3:3" ht="0" hidden="1" customHeight="1">
      <c r="C256" s="61"/>
    </row>
    <row r="257" spans="3:3" ht="0" hidden="1" customHeight="1">
      <c r="C257" s="61"/>
    </row>
    <row r="258" spans="3:3" ht="0" hidden="1" customHeight="1">
      <c r="C258" s="61"/>
    </row>
    <row r="259" spans="3:3" ht="0" hidden="1" customHeight="1">
      <c r="C259" s="61"/>
    </row>
    <row r="260" spans="3:3" ht="0" hidden="1" customHeight="1">
      <c r="C260" s="61"/>
    </row>
    <row r="261" spans="3:3" ht="0" hidden="1" customHeight="1">
      <c r="C261" s="61"/>
    </row>
    <row r="262" spans="3:3" ht="0" hidden="1" customHeight="1">
      <c r="C262" s="61"/>
    </row>
    <row r="263" spans="3:3" ht="0" hidden="1" customHeight="1">
      <c r="C263" s="61"/>
    </row>
    <row r="264" spans="3:3" ht="0" hidden="1" customHeight="1">
      <c r="C264" s="61"/>
    </row>
    <row r="265" spans="3:3" ht="0" hidden="1" customHeight="1">
      <c r="C265" s="61"/>
    </row>
    <row r="266" spans="3:3" ht="0" hidden="1" customHeight="1">
      <c r="C266" s="61"/>
    </row>
    <row r="267" spans="3:3" ht="0" hidden="1" customHeight="1">
      <c r="C267" s="61"/>
    </row>
    <row r="268" spans="3:3" ht="0" hidden="1" customHeight="1">
      <c r="C268" s="61"/>
    </row>
    <row r="269" spans="3:3" ht="0" hidden="1" customHeight="1">
      <c r="C269" s="61"/>
    </row>
    <row r="270" spans="3:3" ht="0" hidden="1" customHeight="1">
      <c r="C270" s="61"/>
    </row>
  </sheetData>
  <mergeCells count="3">
    <mergeCell ref="E32:E34"/>
    <mergeCell ref="F32:J34"/>
    <mergeCell ref="O32:Q34"/>
  </mergeCells>
  <conditionalFormatting sqref="Q9:Q11 Q13:Q25 Q27:Q31 Q35:Q1048576 Q1:Q5">
    <cfRule type="cellIs" dxfId="127" priority="1" operator="equal">
      <formula>"Overdue"</formula>
    </cfRule>
  </conditionalFormatting>
  <conditionalFormatting sqref="K32:N34 F31:Q31 F35:Q755">
    <cfRule type="cellIs" dxfId="126" priority="2" operator="equal">
      <formula>"N/A"</formula>
    </cfRule>
    <cfRule type="cellIs" dxfId="125" priority="3" operator="equal">
      <formula>"TBD"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06069C25-6ED7-4B0E-81AB-E0971779A028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0"/>
              <x14:cfIcon iconSet="3TrafficLights1" iconId="1"/>
              <x14:cfIcon iconSet="3TrafficLights1" iconId="2"/>
            </x14:iconSet>
          </x14:cfRule>
          <xm:sqref>AW137</xm:sqref>
        </x14:conditionalFormatting>
        <x14:conditionalFormatting xmlns:xm="http://schemas.microsoft.com/office/excel/2006/main">
          <x14:cfRule type="iconSet" priority="12" id="{5321590E-39E3-483B-BA9A-A0E3F7959ECA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0"/>
              <x14:cfIcon iconSet="3TrafficLights1" iconId="1"/>
              <x14:cfIcon iconSet="3TrafficLights1" iconId="2"/>
            </x14:iconSet>
          </x14:cfRule>
          <xm:sqref>AW138</xm:sqref>
        </x14:conditionalFormatting>
        <x14:conditionalFormatting xmlns:xm="http://schemas.microsoft.com/office/excel/2006/main">
          <x14:cfRule type="iconSet" priority="11" id="{D2A6586A-28EC-4536-8172-C58367E3DB7E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0"/>
              <x14:cfIcon iconSet="3Symbols" iconId="1"/>
              <x14:cfIcon iconSet="3TrafficLights1" iconId="2"/>
            </x14:iconSet>
          </x14:cfRule>
          <xm:sqref>AW137:AW139</xm:sqref>
        </x14:conditionalFormatting>
        <x14:conditionalFormatting xmlns:xm="http://schemas.microsoft.com/office/excel/2006/main">
          <x14:cfRule type="iconSet" priority="10" id="{F3D142EF-F48F-4212-8B32-E5F6035ACF86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0"/>
              <x14:cfIcon iconSet="3TrafficLights1" iconId="1"/>
              <x14:cfIcon iconSet="3TrafficLights1" iconId="2"/>
            </x14:iconSet>
          </x14:cfRule>
          <xm:sqref>AW142</xm:sqref>
        </x14:conditionalFormatting>
        <x14:conditionalFormatting xmlns:xm="http://schemas.microsoft.com/office/excel/2006/main">
          <x14:cfRule type="iconSet" priority="9" id="{89EAC50F-4883-4D3D-9473-E41C2EACDE5B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0"/>
              <x14:cfIcon iconSet="3TrafficLights1" iconId="1"/>
              <x14:cfIcon iconSet="3TrafficLights1" iconId="2"/>
            </x14:iconSet>
          </x14:cfRule>
          <xm:sqref>AW143</xm:sqref>
        </x14:conditionalFormatting>
        <x14:conditionalFormatting xmlns:xm="http://schemas.microsoft.com/office/excel/2006/main">
          <x14:cfRule type="iconSet" priority="8" id="{185AD345-EC63-4E2F-B9C7-6F76FAAA2A5A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0"/>
              <x14:cfIcon iconSet="3Symbols" iconId="1"/>
              <x14:cfIcon iconSet="3TrafficLights1" iconId="2"/>
            </x14:iconSet>
          </x14:cfRule>
          <xm:sqref>AW142:AW144</xm:sqref>
        </x14:conditionalFormatting>
        <x14:conditionalFormatting xmlns:xm="http://schemas.microsoft.com/office/excel/2006/main">
          <x14:cfRule type="iconSet" priority="7" id="{7CCB2276-EDA3-443D-B9DB-3CED81939AB2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0"/>
              <x14:cfIcon iconSet="3TrafficLights1" iconId="1"/>
              <x14:cfIcon iconSet="3TrafficLights1" iconId="2"/>
            </x14:iconSet>
          </x14:cfRule>
          <xm:sqref>AW147</xm:sqref>
        </x14:conditionalFormatting>
        <x14:conditionalFormatting xmlns:xm="http://schemas.microsoft.com/office/excel/2006/main">
          <x14:cfRule type="iconSet" priority="6" id="{15AB4DE6-37D3-4D29-BCFE-E15455843B8C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0"/>
              <x14:cfIcon iconSet="3TrafficLights1" iconId="1"/>
              <x14:cfIcon iconSet="3TrafficLights1" iconId="2"/>
            </x14:iconSet>
          </x14:cfRule>
          <xm:sqref>AW148</xm:sqref>
        </x14:conditionalFormatting>
        <x14:conditionalFormatting xmlns:xm="http://schemas.microsoft.com/office/excel/2006/main">
          <x14:cfRule type="iconSet" priority="5" id="{41B366F5-608B-42F1-A66D-B0785CDA289C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0"/>
              <x14:cfIcon iconSet="3Symbols" iconId="1"/>
              <x14:cfIcon iconSet="3TrafficLights1" iconId="2"/>
            </x14:iconSet>
          </x14:cfRule>
          <xm:sqref>AW147:AW149</xm:sqref>
        </x14:conditionalFormatting>
        <x14:conditionalFormatting xmlns:xm="http://schemas.microsoft.com/office/excel/2006/main">
          <x14:cfRule type="iconSet" priority="4" id="{3CC92CD1-1A7E-4F15-BF96-A395367B4858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5</xm:f>
              </x14:cfvo>
              <x14:cfvo type="num">
                <xm:f>13</xm:f>
              </x14:cfvo>
              <x14:cfIcon iconSet="4RedToBlack" iconId="1"/>
              <x14:cfIcon iconSet="3TrafficLights1" iconId="1"/>
              <x14:cfIcon iconSet="3Symbols" iconId="1"/>
              <x14:cfIcon iconSet="3TrafficLights1" iconId="0"/>
            </x14:iconSet>
          </x14:cfRule>
          <xm:sqref>AW153:AW155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I55"/>
  <sheetViews>
    <sheetView showGridLines="0" topLeftCell="C1" workbookViewId="0">
      <selection activeCell="F27" sqref="F27"/>
    </sheetView>
  </sheetViews>
  <sheetFormatPr defaultColWidth="9.140625" defaultRowHeight="12.95"/>
  <cols>
    <col min="1" max="1" width="0.42578125" style="6" customWidth="1"/>
    <col min="2" max="2" width="4.42578125" style="36" customWidth="1"/>
    <col min="3" max="3" width="5.42578125" customWidth="1"/>
    <col min="4" max="4" width="0.5703125" style="6" customWidth="1"/>
    <col min="5" max="5" width="4.140625" style="6" customWidth="1"/>
    <col min="6" max="6" width="20.42578125" style="7" customWidth="1"/>
    <col min="7" max="7" width="9.85546875" style="7" customWidth="1"/>
    <col min="8" max="8" width="10.5703125" style="7" customWidth="1"/>
    <col min="9" max="9" width="9.85546875" style="7" customWidth="1"/>
    <col min="10" max="10" width="9.5703125" style="7" customWidth="1"/>
    <col min="11" max="11" width="9.85546875" style="6" customWidth="1"/>
    <col min="12" max="13" width="7.42578125" style="6" customWidth="1"/>
    <col min="14" max="14" width="8.42578125" style="6" customWidth="1"/>
    <col min="15" max="15" width="11.85546875" style="6" customWidth="1"/>
    <col min="16" max="16" width="42.42578125" style="6" customWidth="1"/>
    <col min="17" max="17" width="8.42578125" style="189" customWidth="1"/>
    <col min="18" max="18" width="9.42578125" style="6" customWidth="1"/>
    <col min="19" max="19" width="1.42578125" style="6" customWidth="1"/>
    <col min="20" max="20" width="3.140625" style="6" customWidth="1"/>
    <col min="21" max="21" width="1.85546875" style="6" customWidth="1"/>
    <col min="22" max="16384" width="9.140625" style="6"/>
  </cols>
  <sheetData>
    <row r="1" spans="1:61" customFormat="1" ht="6.6" customHeight="1">
      <c r="A1" s="107"/>
      <c r="F1" s="1"/>
      <c r="G1" s="1"/>
      <c r="H1" s="1"/>
      <c r="I1" s="1"/>
      <c r="J1" s="1"/>
      <c r="Q1" s="18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</row>
    <row r="2" spans="1:61" customFormat="1" ht="6.75" customHeight="1">
      <c r="C2" s="2"/>
      <c r="D2" s="3"/>
      <c r="E2" s="3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51"/>
      <c r="R2" s="3"/>
      <c r="S2" s="3"/>
      <c r="T2" s="3"/>
      <c r="U2" s="5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</row>
    <row r="3" spans="1:61" ht="12.6" customHeight="1">
      <c r="B3"/>
      <c r="C3" s="5"/>
      <c r="U3" s="5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</row>
    <row r="4" spans="1:61" ht="3.6" customHeight="1">
      <c r="B4"/>
      <c r="C4" s="5"/>
      <c r="U4" s="5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</row>
    <row r="5" spans="1:61" s="8" customFormat="1" ht="9" customHeight="1">
      <c r="B5"/>
      <c r="C5" s="5"/>
      <c r="E5" s="9"/>
      <c r="F5" s="10"/>
      <c r="G5" s="10"/>
      <c r="H5" s="10"/>
      <c r="I5" s="10"/>
      <c r="J5" s="10"/>
      <c r="K5" s="11"/>
      <c r="L5" s="11"/>
      <c r="M5" s="11"/>
      <c r="N5" s="11"/>
      <c r="O5" s="11"/>
      <c r="P5" s="11"/>
      <c r="Q5" s="52"/>
      <c r="R5" s="12"/>
      <c r="S5" s="13"/>
      <c r="U5" s="5"/>
    </row>
    <row r="6" spans="1:61" s="8" customFormat="1" ht="25.7" customHeight="1">
      <c r="B6" s="40"/>
      <c r="C6" s="5"/>
      <c r="E6" s="14"/>
      <c r="F6" s="190" t="s">
        <v>16</v>
      </c>
      <c r="G6" s="190"/>
      <c r="H6" s="190"/>
      <c r="I6" s="191"/>
      <c r="J6" s="191"/>
      <c r="K6" s="191"/>
      <c r="L6" s="191"/>
      <c r="M6" s="191"/>
      <c r="N6" s="191"/>
      <c r="O6" s="191"/>
      <c r="P6" s="192"/>
      <c r="Q6" s="193"/>
      <c r="R6" s="194"/>
      <c r="S6" s="16"/>
      <c r="U6" s="5"/>
    </row>
    <row r="7" spans="1:61" s="8" customFormat="1" ht="9" customHeight="1" thickBot="1">
      <c r="B7" s="40"/>
      <c r="C7" s="5"/>
      <c r="E7" s="14"/>
      <c r="F7" s="195"/>
      <c r="G7" s="195"/>
      <c r="H7" s="195"/>
      <c r="I7" s="195"/>
      <c r="J7" s="195"/>
      <c r="K7" s="196"/>
      <c r="L7" s="196"/>
      <c r="M7" s="196"/>
      <c r="N7" s="196"/>
      <c r="O7" s="196"/>
      <c r="P7" s="196"/>
      <c r="Q7" s="197"/>
      <c r="R7" s="198"/>
      <c r="S7" s="16"/>
      <c r="U7" s="5"/>
    </row>
    <row r="8" spans="1:61" s="8" customFormat="1" ht="4.7" customHeight="1" thickTop="1">
      <c r="B8" s="40"/>
      <c r="C8" s="5"/>
      <c r="E8" s="14"/>
      <c r="F8" s="17"/>
      <c r="G8" s="199"/>
      <c r="H8" s="17"/>
      <c r="I8" s="17"/>
      <c r="J8" s="17"/>
      <c r="K8" s="18"/>
      <c r="L8" s="18"/>
      <c r="M8" s="18"/>
      <c r="N8" s="18"/>
      <c r="O8" s="18"/>
      <c r="P8" s="18"/>
      <c r="Q8" s="21"/>
      <c r="R8" s="15"/>
      <c r="S8" s="16"/>
      <c r="U8" s="5"/>
    </row>
    <row r="9" spans="1:61" s="8" customFormat="1" ht="20.45" customHeight="1">
      <c r="B9" s="40"/>
      <c r="C9" s="5"/>
      <c r="E9" s="14"/>
      <c r="F9" s="200" t="s">
        <v>17</v>
      </c>
      <c r="G9" s="705" t="e">
        <f>IF('Fill out report  تعبئة التقرير'!#REF!="","",'Fill out report  تعبئة التقرير'!#REF!)</f>
        <v>#REF!</v>
      </c>
      <c r="H9" s="705"/>
      <c r="I9" s="705"/>
      <c r="J9" s="705"/>
      <c r="K9" s="705"/>
      <c r="L9" s="705"/>
      <c r="M9" s="705"/>
      <c r="N9" s="705"/>
      <c r="O9" s="705"/>
      <c r="P9" s="201" t="s">
        <v>18</v>
      </c>
      <c r="Q9" s="706" t="e">
        <f>IF('Fill out report  تعبئة التقرير'!#REF!="N/A","",'Fill out report  تعبئة التقرير'!#REF! &amp; " Days")</f>
        <v>#REF!</v>
      </c>
      <c r="R9" s="707"/>
      <c r="S9" s="16"/>
      <c r="U9" s="5"/>
    </row>
    <row r="10" spans="1:61" s="8" customFormat="1" ht="3.2" customHeight="1">
      <c r="B10" s="40"/>
      <c r="C10" s="5"/>
      <c r="E10" s="14"/>
      <c r="F10" s="17"/>
      <c r="G10" s="17"/>
      <c r="H10" s="17"/>
      <c r="I10" s="17"/>
      <c r="J10" s="17"/>
      <c r="K10" s="21"/>
      <c r="L10" s="21"/>
      <c r="M10" s="21"/>
      <c r="N10" s="21"/>
      <c r="O10" s="21"/>
      <c r="P10" s="22"/>
      <c r="Q10" s="53"/>
      <c r="R10" s="42"/>
      <c r="S10" s="16"/>
      <c r="U10" s="5"/>
    </row>
    <row r="11" spans="1:61" s="8" customFormat="1" ht="20.45" customHeight="1">
      <c r="B11" s="40"/>
      <c r="C11" s="5"/>
      <c r="E11" s="14"/>
      <c r="F11" s="17"/>
      <c r="G11" s="708" t="s">
        <v>19</v>
      </c>
      <c r="H11" s="709"/>
      <c r="I11" s="710" t="e">
        <f>IF('Fill out report  تعبئة التقرير'!#REF!="","",'Fill out report  تعبئة التقرير'!#REF! &amp; "  "&amp;  'Fill out report  تعبئة التقرير'!#REF!)</f>
        <v>#REF!</v>
      </c>
      <c r="J11" s="711"/>
      <c r="K11" s="708" t="s">
        <v>20</v>
      </c>
      <c r="L11" s="708"/>
      <c r="M11" s="710" t="e">
        <f>IF('Fill out report  تعبئة التقرير'!#REF!="","",'Fill out report  تعبئة التقرير'!#REF! &amp; "  "&amp;  'Fill out report  تعبئة التقرير'!#REF!)</f>
        <v>#REF!</v>
      </c>
      <c r="N11" s="711"/>
      <c r="O11" s="202"/>
      <c r="P11" s="201" t="s">
        <v>21</v>
      </c>
      <c r="Q11" s="712" t="e">
        <f>IF('Fill out report  تعبئة التقرير'!#REF!="N/A","",'Fill out report  تعبئة التقرير'!#REF! &amp; " Days")</f>
        <v>#REF!</v>
      </c>
      <c r="R11" s="713"/>
      <c r="S11" s="16"/>
      <c r="U11" s="5"/>
    </row>
    <row r="12" spans="1:61" s="8" customFormat="1" ht="3.2" customHeight="1">
      <c r="B12" s="40"/>
      <c r="C12" s="5"/>
      <c r="E12" s="14"/>
      <c r="F12" s="17"/>
      <c r="G12" s="17"/>
      <c r="H12" s="17"/>
      <c r="I12" s="17"/>
      <c r="J12" s="17"/>
      <c r="K12" s="21"/>
      <c r="L12" s="21"/>
      <c r="M12" s="21"/>
      <c r="N12" s="21"/>
      <c r="O12" s="203"/>
      <c r="P12" s="22"/>
      <c r="Q12" s="42"/>
      <c r="R12" s="42"/>
      <c r="S12" s="16"/>
      <c r="U12" s="5"/>
    </row>
    <row r="13" spans="1:61" s="8" customFormat="1" ht="20.45" customHeight="1">
      <c r="B13" s="40"/>
      <c r="C13" s="5"/>
      <c r="E13" s="14"/>
      <c r="F13" s="691" t="s">
        <v>22</v>
      </c>
      <c r="G13" s="204"/>
      <c r="H13" s="204"/>
      <c r="I13" s="204"/>
      <c r="J13" s="44"/>
      <c r="K13" s="15"/>
      <c r="L13" s="204"/>
      <c r="M13" s="204"/>
      <c r="N13" s="203"/>
      <c r="O13" s="203"/>
      <c r="P13" s="257" t="s">
        <v>23</v>
      </c>
      <c r="Q13" s="693" t="e">
        <f>IF('Fill out report  تعبئة التقرير'!#REF!="","",'Fill out report  تعبئة التقرير'!#REF!)</f>
        <v>#REF!</v>
      </c>
      <c r="R13" s="694"/>
      <c r="S13" s="16"/>
      <c r="U13" s="5"/>
    </row>
    <row r="14" spans="1:61" s="8" customFormat="1" ht="3.2" customHeight="1">
      <c r="B14" s="40"/>
      <c r="C14" s="5"/>
      <c r="E14" s="14"/>
      <c r="F14" s="692"/>
      <c r="G14" s="204"/>
      <c r="H14" s="204"/>
      <c r="I14" s="204"/>
      <c r="J14" s="204"/>
      <c r="K14" s="695" t="s">
        <v>24</v>
      </c>
      <c r="L14" s="696"/>
      <c r="M14" s="204"/>
      <c r="N14" s="203"/>
      <c r="O14" s="203"/>
      <c r="P14" s="22"/>
      <c r="Q14" s="53"/>
      <c r="R14" s="42"/>
      <c r="S14" s="16"/>
      <c r="U14" s="5"/>
    </row>
    <row r="15" spans="1:61" s="8" customFormat="1" ht="20.45" customHeight="1">
      <c r="B15" s="40"/>
      <c r="C15" s="5"/>
      <c r="E15" s="14"/>
      <c r="F15" s="692"/>
      <c r="G15" s="205" t="s">
        <v>25</v>
      </c>
      <c r="H15" s="44"/>
      <c r="I15" s="205" t="s">
        <v>26</v>
      </c>
      <c r="J15" s="206"/>
      <c r="K15" s="697"/>
      <c r="L15" s="698"/>
      <c r="M15" s="207"/>
      <c r="N15" s="205" t="s">
        <v>27</v>
      </c>
      <c r="O15" s="203"/>
      <c r="P15" s="257" t="s">
        <v>28</v>
      </c>
      <c r="Q15" s="701" t="e">
        <f>IF('Fill out report  تعبئة التقرير'!#REF!="N/A","",'Fill out report  تعبئة التقرير'!#REF!)</f>
        <v>#REF!</v>
      </c>
      <c r="R15" s="702"/>
      <c r="S15" s="16"/>
      <c r="U15" s="5"/>
    </row>
    <row r="16" spans="1:61" s="8" customFormat="1" ht="3.2" customHeight="1">
      <c r="B16" s="40"/>
      <c r="C16" s="5"/>
      <c r="E16" s="14"/>
      <c r="F16" s="692"/>
      <c r="G16" s="204"/>
      <c r="H16" s="204"/>
      <c r="I16" s="204"/>
      <c r="J16" s="204"/>
      <c r="K16" s="699"/>
      <c r="L16" s="700"/>
      <c r="M16" s="204"/>
      <c r="N16" s="203"/>
      <c r="O16" s="203"/>
      <c r="P16" s="22"/>
      <c r="Q16" s="53"/>
      <c r="R16" s="42"/>
      <c r="S16" s="16"/>
      <c r="U16" s="46"/>
    </row>
    <row r="17" spans="2:21" s="47" customFormat="1" ht="20.45" customHeight="1">
      <c r="B17" s="40"/>
      <c r="C17" s="46"/>
      <c r="E17" s="48"/>
      <c r="F17" s="208" t="s">
        <v>29</v>
      </c>
      <c r="G17" s="209"/>
      <c r="H17" s="49"/>
      <c r="I17" s="49"/>
      <c r="J17" s="49"/>
      <c r="K17" s="49"/>
      <c r="L17" s="210"/>
      <c r="M17" s="209"/>
      <c r="N17" s="211" t="s">
        <v>30</v>
      </c>
      <c r="O17" s="210"/>
      <c r="P17" s="201" t="s">
        <v>31</v>
      </c>
      <c r="Q17" s="212" t="e">
        <f>'Fill out report  تعبئة التقرير'!#REF!</f>
        <v>#REF!</v>
      </c>
      <c r="R17" s="213" t="e">
        <f>'Fill out report  تعبئة التقرير'!#REF!</f>
        <v>#REF!</v>
      </c>
      <c r="S17" s="50"/>
      <c r="U17" s="5"/>
    </row>
    <row r="18" spans="2:21" s="8" customFormat="1" ht="5.25" customHeight="1" thickBot="1">
      <c r="B18" s="40"/>
      <c r="C18" s="5"/>
      <c r="E18" s="14"/>
      <c r="F18" s="195"/>
      <c r="G18" s="195"/>
      <c r="H18" s="195"/>
      <c r="I18" s="195"/>
      <c r="J18" s="195"/>
      <c r="K18" s="214"/>
      <c r="L18" s="214"/>
      <c r="M18" s="214"/>
      <c r="N18" s="214"/>
      <c r="O18" s="214"/>
      <c r="P18" s="214"/>
      <c r="Q18" s="215"/>
      <c r="R18" s="214"/>
      <c r="S18" s="16"/>
      <c r="U18" s="5"/>
    </row>
    <row r="19" spans="2:21" s="8" customFormat="1" ht="24.6" customHeight="1" thickTop="1">
      <c r="B19" s="40"/>
      <c r="C19" s="5"/>
      <c r="E19" s="14"/>
      <c r="F19" s="703" t="s">
        <v>32</v>
      </c>
      <c r="G19" s="703"/>
      <c r="H19" s="703"/>
      <c r="I19" s="17"/>
      <c r="J19" s="17"/>
      <c r="K19" s="23"/>
      <c r="L19" s="216"/>
      <c r="M19" s="216"/>
      <c r="N19" s="23"/>
      <c r="O19" s="23"/>
      <c r="P19" s="45"/>
      <c r="Q19" s="45"/>
      <c r="R19" s="45"/>
      <c r="S19" s="16"/>
      <c r="U19" s="5"/>
    </row>
    <row r="20" spans="2:21" s="8" customFormat="1" ht="14.45">
      <c r="B20" s="40"/>
      <c r="C20" s="5"/>
      <c r="E20" s="14"/>
      <c r="F20" s="17"/>
      <c r="G20" s="17"/>
      <c r="H20" s="17"/>
      <c r="I20" s="17"/>
      <c r="J20" s="17"/>
      <c r="K20" s="23"/>
      <c r="L20" s="203"/>
      <c r="M20" s="203"/>
      <c r="N20" s="203"/>
      <c r="O20" s="203"/>
      <c r="P20" s="23"/>
      <c r="Q20" s="21"/>
      <c r="R20" s="23"/>
      <c r="S20" s="16"/>
      <c r="U20" s="5"/>
    </row>
    <row r="21" spans="2:21" s="8" customFormat="1" ht="14.45">
      <c r="B21" s="40"/>
      <c r="C21" s="5"/>
      <c r="E21" s="14"/>
      <c r="F21" s="217" t="s">
        <v>33</v>
      </c>
      <c r="G21" s="218"/>
      <c r="H21" s="218"/>
      <c r="I21" s="218"/>
      <c r="J21" s="218"/>
      <c r="K21" s="23"/>
      <c r="L21" s="203"/>
      <c r="M21" s="247"/>
      <c r="N21" s="704" t="s">
        <v>34</v>
      </c>
      <c r="O21" s="704"/>
      <c r="P21" s="23"/>
      <c r="Q21" s="21"/>
      <c r="R21" s="23"/>
      <c r="S21" s="16"/>
      <c r="U21" s="5"/>
    </row>
    <row r="22" spans="2:21" s="8" customFormat="1" ht="14.45">
      <c r="B22" s="40"/>
      <c r="C22" s="5"/>
      <c r="E22" s="14"/>
      <c r="F22" s="219"/>
      <c r="G22" s="17"/>
      <c r="H22" s="218"/>
      <c r="I22" s="17"/>
      <c r="J22" s="15"/>
      <c r="K22" s="23"/>
      <c r="L22" s="203"/>
      <c r="M22" s="203"/>
      <c r="N22" s="203"/>
      <c r="O22" s="219"/>
      <c r="P22" s="23"/>
      <c r="Q22" s="21"/>
      <c r="R22" s="23"/>
      <c r="S22" s="16"/>
      <c r="U22" s="5"/>
    </row>
    <row r="23" spans="2:21" s="8" customFormat="1" ht="14.45">
      <c r="B23" s="40"/>
      <c r="C23" s="5"/>
      <c r="E23" s="14"/>
      <c r="F23" s="219"/>
      <c r="G23" s="17"/>
      <c r="H23" s="218"/>
      <c r="I23" s="106"/>
      <c r="J23" s="106"/>
      <c r="K23" s="106"/>
      <c r="L23" s="106"/>
      <c r="M23" s="106"/>
      <c r="N23" s="203"/>
      <c r="O23" s="219"/>
      <c r="P23" s="23"/>
      <c r="Q23" s="21"/>
      <c r="R23" s="23"/>
      <c r="S23" s="16"/>
      <c r="U23" s="5"/>
    </row>
    <row r="24" spans="2:21" s="8" customFormat="1" ht="14.45">
      <c r="B24" s="40"/>
      <c r="C24" s="5"/>
      <c r="E24" s="14"/>
      <c r="F24" s="219"/>
      <c r="G24" s="17"/>
      <c r="H24" s="218"/>
      <c r="I24" s="17"/>
      <c r="J24" s="15"/>
      <c r="K24" s="23"/>
      <c r="L24" s="203"/>
      <c r="M24" s="203"/>
      <c r="N24" s="203"/>
      <c r="O24" s="219"/>
      <c r="P24" s="23"/>
      <c r="Q24" s="21"/>
      <c r="R24" s="23"/>
      <c r="S24" s="16"/>
      <c r="U24" s="5"/>
    </row>
    <row r="25" spans="2:21" s="8" customFormat="1" ht="14.45">
      <c r="B25" s="40"/>
      <c r="C25" s="5"/>
      <c r="E25" s="14"/>
      <c r="F25" s="219"/>
      <c r="G25" s="17"/>
      <c r="H25" s="218"/>
      <c r="I25" s="15"/>
      <c r="J25" s="15"/>
      <c r="K25" s="106"/>
      <c r="L25" s="106"/>
      <c r="M25" s="106"/>
      <c r="N25" s="203"/>
      <c r="O25" s="219"/>
      <c r="P25" s="23"/>
      <c r="Q25" s="21"/>
      <c r="R25" s="23"/>
      <c r="S25" s="16"/>
      <c r="U25" s="5"/>
    </row>
    <row r="26" spans="2:21" s="8" customFormat="1" ht="14.45">
      <c r="B26" s="40"/>
      <c r="C26" s="5"/>
      <c r="E26" s="14"/>
      <c r="F26" s="219"/>
      <c r="G26" s="17"/>
      <c r="H26" s="218"/>
      <c r="I26" s="17"/>
      <c r="J26" s="15"/>
      <c r="K26" s="23"/>
      <c r="L26" s="203"/>
      <c r="M26" s="203"/>
      <c r="N26" s="203"/>
      <c r="O26" s="219"/>
      <c r="P26" s="23"/>
      <c r="Q26" s="21"/>
      <c r="R26" s="23"/>
      <c r="S26" s="16"/>
      <c r="U26" s="5"/>
    </row>
    <row r="27" spans="2:21" s="8" customFormat="1" ht="14.45">
      <c r="B27" s="40"/>
      <c r="C27" s="5"/>
      <c r="E27" s="14"/>
      <c r="F27" s="219"/>
      <c r="G27" s="17"/>
      <c r="H27" s="17"/>
      <c r="I27" s="17"/>
      <c r="J27" s="15"/>
      <c r="K27" s="23"/>
      <c r="L27" s="203"/>
      <c r="M27" s="203"/>
      <c r="N27" s="203"/>
      <c r="O27" s="219"/>
      <c r="P27" s="23"/>
      <c r="Q27" s="21"/>
      <c r="R27" s="23"/>
      <c r="S27" s="16"/>
      <c r="U27" s="5"/>
    </row>
    <row r="28" spans="2:21" s="8" customFormat="1" ht="14.45">
      <c r="B28" s="40"/>
      <c r="C28" s="5"/>
      <c r="E28" s="14"/>
      <c r="F28" s="219"/>
      <c r="G28" s="17"/>
      <c r="H28" s="17"/>
      <c r="I28" s="17"/>
      <c r="J28" s="15"/>
      <c r="K28" s="23"/>
      <c r="L28" s="203"/>
      <c r="M28" s="203"/>
      <c r="N28" s="203"/>
      <c r="O28" s="219"/>
      <c r="P28" s="23"/>
      <c r="Q28" s="21"/>
      <c r="R28" s="23"/>
      <c r="S28" s="16"/>
      <c r="U28" s="5"/>
    </row>
    <row r="29" spans="2:21" s="8" customFormat="1" ht="14.45">
      <c r="B29" s="40"/>
      <c r="C29" s="5"/>
      <c r="E29" s="14"/>
      <c r="F29" s="56"/>
      <c r="G29" s="17"/>
      <c r="H29" s="17"/>
      <c r="I29" s="17"/>
      <c r="J29" s="17"/>
      <c r="K29" s="17"/>
      <c r="L29" s="203"/>
      <c r="M29" s="203"/>
      <c r="N29" s="203"/>
      <c r="O29" s="219"/>
      <c r="P29" s="23"/>
      <c r="Q29" s="21"/>
      <c r="R29" s="23"/>
      <c r="S29" s="16"/>
      <c r="U29" s="5"/>
    </row>
    <row r="30" spans="2:21" s="8" customFormat="1" ht="18.95" customHeight="1">
      <c r="B30" s="40"/>
      <c r="C30" s="5"/>
      <c r="E30" s="14"/>
      <c r="F30" s="56"/>
      <c r="G30" s="17"/>
      <c r="H30" s="17"/>
      <c r="I30" s="17"/>
      <c r="J30" s="17"/>
      <c r="K30" s="17"/>
      <c r="L30" s="203"/>
      <c r="M30" s="203"/>
      <c r="N30" s="203"/>
      <c r="O30" s="219"/>
      <c r="P30" s="23"/>
      <c r="Q30" s="21"/>
      <c r="R30" s="23"/>
      <c r="S30" s="16"/>
      <c r="U30" s="5"/>
    </row>
    <row r="31" spans="2:21" s="8" customFormat="1" ht="35.450000000000003" customHeight="1">
      <c r="B31" s="40"/>
      <c r="C31" s="5"/>
      <c r="E31" s="14"/>
      <c r="F31" s="17"/>
      <c r="G31" s="17"/>
      <c r="H31" s="17"/>
      <c r="I31" s="17"/>
      <c r="J31" s="17"/>
      <c r="K31" s="17"/>
      <c r="L31" s="203"/>
      <c r="M31" s="203"/>
      <c r="N31" s="203"/>
      <c r="O31" s="15"/>
      <c r="P31" s="203"/>
      <c r="Q31" s="203"/>
      <c r="R31" s="23"/>
      <c r="S31" s="16"/>
      <c r="U31" s="5"/>
    </row>
    <row r="32" spans="2:21" s="8" customFormat="1" ht="14.45">
      <c r="B32" s="40"/>
      <c r="C32" s="5"/>
      <c r="E32" s="14"/>
      <c r="F32" s="220" t="s">
        <v>35</v>
      </c>
      <c r="G32" s="221"/>
      <c r="H32" s="218"/>
      <c r="I32" s="218"/>
      <c r="J32" s="218"/>
      <c r="K32" s="23"/>
      <c r="L32" s="222"/>
      <c r="M32" s="247"/>
      <c r="N32" s="704" t="s">
        <v>36</v>
      </c>
      <c r="O32" s="704"/>
      <c r="P32" s="222"/>
      <c r="Q32" s="223"/>
      <c r="R32" s="23"/>
      <c r="S32" s="16"/>
      <c r="U32" s="5"/>
    </row>
    <row r="33" spans="2:21" s="8" customFormat="1" ht="17.45" customHeight="1">
      <c r="B33" s="40"/>
      <c r="C33" s="5"/>
      <c r="E33" s="14"/>
      <c r="F33" s="56"/>
      <c r="G33" s="17"/>
      <c r="H33" s="17"/>
      <c r="I33" s="17"/>
      <c r="J33" s="17"/>
      <c r="K33" s="23"/>
      <c r="L33" s="203"/>
      <c r="M33" s="203"/>
      <c r="N33" s="203"/>
      <c r="O33" s="219"/>
      <c r="P33" s="222"/>
      <c r="Q33" s="223"/>
      <c r="R33" s="23"/>
      <c r="S33" s="16"/>
      <c r="U33" s="5"/>
    </row>
    <row r="34" spans="2:21" s="8" customFormat="1" ht="13.7" customHeight="1">
      <c r="B34" s="40"/>
      <c r="C34" s="5"/>
      <c r="E34" s="14"/>
      <c r="F34" s="56"/>
      <c r="G34" s="17"/>
      <c r="H34" s="17"/>
      <c r="I34" s="17"/>
      <c r="J34" s="17"/>
      <c r="K34" s="23"/>
      <c r="L34" s="203"/>
      <c r="M34" s="203"/>
      <c r="N34" s="203"/>
      <c r="O34" s="219"/>
      <c r="P34" s="222"/>
      <c r="Q34" s="223"/>
      <c r="R34" s="23"/>
      <c r="S34" s="16"/>
      <c r="U34" s="5"/>
    </row>
    <row r="35" spans="2:21" s="8" customFormat="1" ht="13.7" customHeight="1">
      <c r="B35" s="40"/>
      <c r="C35" s="5"/>
      <c r="E35" s="14"/>
      <c r="F35" s="56"/>
      <c r="G35" s="17"/>
      <c r="H35" s="17"/>
      <c r="I35" s="17"/>
      <c r="J35" s="17"/>
      <c r="K35" s="23"/>
      <c r="L35" s="203"/>
      <c r="M35" s="203"/>
      <c r="N35" s="203"/>
      <c r="O35" s="219"/>
      <c r="P35" s="222"/>
      <c r="Q35" s="223"/>
      <c r="R35" s="23"/>
      <c r="S35" s="16"/>
      <c r="U35" s="5"/>
    </row>
    <row r="36" spans="2:21" s="8" customFormat="1" ht="13.7" customHeight="1">
      <c r="B36" s="40"/>
      <c r="C36" s="5"/>
      <c r="E36" s="14"/>
      <c r="F36" s="56"/>
      <c r="G36" s="17"/>
      <c r="H36" s="17"/>
      <c r="I36" s="17"/>
      <c r="J36" s="17"/>
      <c r="K36" s="23"/>
      <c r="L36" s="203"/>
      <c r="M36" s="203"/>
      <c r="N36" s="203"/>
      <c r="O36" s="219"/>
      <c r="P36" s="222"/>
      <c r="Q36" s="223"/>
      <c r="R36" s="23"/>
      <c r="S36" s="16"/>
      <c r="U36" s="5"/>
    </row>
    <row r="37" spans="2:21" s="8" customFormat="1" ht="13.7" customHeight="1">
      <c r="B37" s="40"/>
      <c r="C37" s="5"/>
      <c r="E37" s="14"/>
      <c r="F37" s="56"/>
      <c r="G37" s="17"/>
      <c r="H37" s="17"/>
      <c r="I37" s="17"/>
      <c r="J37" s="17"/>
      <c r="K37" s="23"/>
      <c r="L37" s="203"/>
      <c r="M37" s="203"/>
      <c r="N37" s="203"/>
      <c r="O37" s="219"/>
      <c r="P37" s="222"/>
      <c r="Q37" s="223"/>
      <c r="R37" s="23"/>
      <c r="S37" s="16"/>
      <c r="U37" s="5"/>
    </row>
    <row r="38" spans="2:21" s="8" customFormat="1" ht="17.45" customHeight="1">
      <c r="B38" s="40"/>
      <c r="C38" s="5"/>
      <c r="E38" s="14"/>
      <c r="F38" s="56"/>
      <c r="G38" s="17"/>
      <c r="H38" s="17"/>
      <c r="I38" s="17"/>
      <c r="J38" s="17"/>
      <c r="K38" s="23"/>
      <c r="L38" s="203"/>
      <c r="M38" s="203"/>
      <c r="N38" s="203"/>
      <c r="O38" s="219"/>
      <c r="P38" s="222"/>
      <c r="Q38" s="223"/>
      <c r="R38" s="23"/>
      <c r="S38" s="16"/>
      <c r="U38" s="5"/>
    </row>
    <row r="39" spans="2:21" s="8" customFormat="1" ht="17.45" customHeight="1">
      <c r="B39" s="40"/>
      <c r="C39" s="5"/>
      <c r="E39" s="14"/>
      <c r="F39" s="56"/>
      <c r="G39" s="17"/>
      <c r="H39" s="17"/>
      <c r="I39" s="17"/>
      <c r="J39" s="17"/>
      <c r="K39" s="23"/>
      <c r="L39" s="203"/>
      <c r="M39" s="203"/>
      <c r="N39" s="203"/>
      <c r="O39" s="219"/>
      <c r="P39" s="222"/>
      <c r="Q39" s="223"/>
      <c r="R39" s="23"/>
      <c r="S39" s="16"/>
      <c r="U39" s="5"/>
    </row>
    <row r="40" spans="2:21" s="8" customFormat="1" ht="17.45" customHeight="1">
      <c r="B40" s="40"/>
      <c r="C40" s="5"/>
      <c r="E40" s="14"/>
      <c r="F40" s="56"/>
      <c r="G40" s="17"/>
      <c r="H40" s="17"/>
      <c r="I40" s="17"/>
      <c r="J40" s="17"/>
      <c r="K40" s="23"/>
      <c r="L40" s="203"/>
      <c r="M40" s="203"/>
      <c r="N40" s="203"/>
      <c r="O40" s="219"/>
      <c r="P40" s="222"/>
      <c r="Q40" s="223"/>
      <c r="R40" s="23"/>
      <c r="S40" s="16"/>
      <c r="U40" s="5"/>
    </row>
    <row r="41" spans="2:21" s="8" customFormat="1" ht="17.45" customHeight="1">
      <c r="B41" s="40"/>
      <c r="C41" s="5"/>
      <c r="E41" s="14"/>
      <c r="F41" s="56"/>
      <c r="G41" s="17"/>
      <c r="H41" s="17"/>
      <c r="I41" s="17"/>
      <c r="J41" s="17"/>
      <c r="K41" s="23"/>
      <c r="L41" s="203"/>
      <c r="M41" s="203"/>
      <c r="N41" s="203"/>
      <c r="O41" s="219"/>
      <c r="P41" s="222"/>
      <c r="Q41" s="223"/>
      <c r="R41" s="23"/>
      <c r="S41" s="16"/>
      <c r="U41" s="5"/>
    </row>
    <row r="42" spans="2:21" s="8" customFormat="1" ht="17.45" customHeight="1">
      <c r="B42" s="40"/>
      <c r="C42" s="5"/>
      <c r="E42" s="14"/>
      <c r="F42" s="56"/>
      <c r="G42" s="17"/>
      <c r="H42" s="17"/>
      <c r="I42" s="17"/>
      <c r="J42" s="17"/>
      <c r="K42" s="23"/>
      <c r="L42" s="203"/>
      <c r="M42" s="203"/>
      <c r="N42" s="203"/>
      <c r="O42" s="219"/>
      <c r="P42" s="222"/>
      <c r="Q42" s="223"/>
      <c r="R42" s="23"/>
      <c r="S42" s="16"/>
      <c r="U42" s="5"/>
    </row>
    <row r="43" spans="2:21" s="8" customFormat="1" ht="17.45" customHeight="1">
      <c r="B43" s="40"/>
      <c r="C43" s="5"/>
      <c r="E43" s="14"/>
      <c r="F43" s="56"/>
      <c r="G43" s="17"/>
      <c r="H43" s="17"/>
      <c r="I43" s="17"/>
      <c r="J43" s="17"/>
      <c r="K43" s="23"/>
      <c r="L43" s="203"/>
      <c r="M43" s="203"/>
      <c r="N43" s="203"/>
      <c r="O43" s="219"/>
      <c r="P43" s="222"/>
      <c r="Q43" s="223"/>
      <c r="R43" s="23"/>
      <c r="S43" s="16"/>
      <c r="U43" s="5"/>
    </row>
    <row r="44" spans="2:21" s="8" customFormat="1" ht="17.45" customHeight="1">
      <c r="B44" s="40"/>
      <c r="C44" s="5"/>
      <c r="E44" s="224">
        <v>1</v>
      </c>
      <c r="F44" s="225" t="s">
        <v>37</v>
      </c>
      <c r="G44" s="43"/>
      <c r="H44" s="43"/>
      <c r="I44" s="43"/>
      <c r="J44" s="43"/>
      <c r="K44" s="43"/>
      <c r="L44" s="43"/>
      <c r="M44" s="43"/>
      <c r="N44" s="24"/>
      <c r="O44" s="25"/>
      <c r="P44" s="690"/>
      <c r="Q44" s="690"/>
      <c r="R44" s="690"/>
      <c r="S44" s="16"/>
      <c r="U44" s="5"/>
    </row>
    <row r="45" spans="2:21" s="8" customFormat="1" ht="13.7" customHeight="1">
      <c r="B45" s="40"/>
      <c r="C45" s="5"/>
      <c r="E45" s="26"/>
      <c r="F45" s="27"/>
      <c r="G45" s="27"/>
      <c r="H45" s="27"/>
      <c r="I45" s="27"/>
      <c r="J45" s="27"/>
      <c r="K45" s="28"/>
      <c r="L45" s="28"/>
      <c r="M45" s="28"/>
      <c r="N45" s="28"/>
      <c r="O45" s="28"/>
      <c r="P45" s="28"/>
      <c r="Q45" s="54"/>
      <c r="R45" s="29"/>
      <c r="S45" s="30"/>
      <c r="U45" s="5"/>
    </row>
    <row r="46" spans="2:21" s="8" customFormat="1" ht="10.5" customHeight="1">
      <c r="B46"/>
      <c r="C46" s="3"/>
      <c r="D46" s="3"/>
      <c r="E46" s="3"/>
      <c r="F46" s="4"/>
      <c r="G46" s="4"/>
      <c r="H46" s="4"/>
      <c r="I46" s="4"/>
      <c r="J46" s="4"/>
      <c r="K46" s="3"/>
      <c r="L46" s="3"/>
      <c r="M46" s="3"/>
      <c r="N46" s="3"/>
      <c r="O46" s="3"/>
      <c r="P46" s="3"/>
      <c r="Q46" s="51"/>
      <c r="R46" s="3"/>
      <c r="S46" s="3"/>
      <c r="T46" s="3"/>
    </row>
    <row r="47" spans="2:21" s="8" customFormat="1" ht="3.95" customHeight="1">
      <c r="B47" s="40"/>
      <c r="C47" s="6"/>
      <c r="F47" s="32"/>
      <c r="G47" s="32"/>
      <c r="H47" s="32"/>
      <c r="I47" s="32"/>
      <c r="J47" s="32"/>
      <c r="Q47" s="55"/>
      <c r="R47" s="33"/>
      <c r="S47" s="34"/>
      <c r="T47" s="35"/>
      <c r="U47" s="6"/>
    </row>
    <row r="54" spans="6:13">
      <c r="M54" s="7"/>
    </row>
    <row r="55" spans="6:13">
      <c r="F55" s="6"/>
    </row>
  </sheetData>
  <mergeCells count="15">
    <mergeCell ref="G9:O9"/>
    <mergeCell ref="Q9:R9"/>
    <mergeCell ref="G11:H11"/>
    <mergeCell ref="I11:J11"/>
    <mergeCell ref="K11:L11"/>
    <mergeCell ref="M11:N11"/>
    <mergeCell ref="Q11:R11"/>
    <mergeCell ref="P44:R44"/>
    <mergeCell ref="F13:F16"/>
    <mergeCell ref="Q13:R13"/>
    <mergeCell ref="K14:L16"/>
    <mergeCell ref="Q15:R15"/>
    <mergeCell ref="F19:H19"/>
    <mergeCell ref="N21:O21"/>
    <mergeCell ref="N32:O32"/>
  </mergeCells>
  <conditionalFormatting sqref="Q15">
    <cfRule type="cellIs" dxfId="124" priority="10" operator="greaterThan">
      <formula>0</formula>
    </cfRule>
  </conditionalFormatting>
  <conditionalFormatting sqref="Q11:R11">
    <cfRule type="expression" dxfId="123" priority="4">
      <formula>$Q$15&gt;0</formula>
    </cfRule>
  </conditionalFormatting>
  <conditionalFormatting sqref="K25:M25">
    <cfRule type="dataBar" priority="3">
      <dataBar showValue="0">
        <cfvo type="min"/>
        <cfvo type="max"/>
        <color theme="6"/>
      </dataBar>
      <extLst>
        <ext xmlns:x14="http://schemas.microsoft.com/office/spreadsheetml/2009/9/main" uri="{B025F937-C7B1-47D3-B67F-A62EFF666E3E}">
          <x14:id>{FE0D7BAE-3458-4F09-AB68-EA1161ED03B8}</x14:id>
        </ext>
      </extLst>
    </cfRule>
  </conditionalFormatting>
  <conditionalFormatting sqref="Q13:R13">
    <cfRule type="cellIs" dxfId="122" priority="2" operator="lessThanOrEqual">
      <formula>TODAY()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0D7BAE-3458-4F09-AB68-EA1161ED03B8}">
            <x14:dataBar minLength="0" maxLength="10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K25:M25</xm:sqref>
        </x14:conditionalFormatting>
        <x14:conditionalFormatting xmlns:xm="http://schemas.microsoft.com/office/excel/2006/main">
          <x14:cfRule type="iconSet" priority="12" id="{809BD9AA-238D-4825-9457-9D271698B76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Flags" iconId="0"/>
            </x14:iconSet>
          </x14:cfRule>
          <xm:sqref>Q15</xm:sqref>
        </x14:conditionalFormatting>
        <x14:conditionalFormatting xmlns:xm="http://schemas.microsoft.com/office/excel/2006/main">
          <x14:cfRule type="iconSet" priority="11" id="{0975935F-0A21-4705-8BAE-02A8BA0B4552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0"/>
              <x14:cfIcon iconSet="3Symbols" iconId="1"/>
              <x14:cfIcon iconSet="3TrafficLights1" iconId="2"/>
            </x14:iconSet>
          </x14:cfRule>
          <xm:sqref>R17</xm:sqref>
        </x14:conditionalFormatting>
        <x14:conditionalFormatting xmlns:xm="http://schemas.microsoft.com/office/excel/2006/main">
          <x14:cfRule type="iconSet" priority="9" id="{20A09CC6-3DAB-4B30-901E-DAB51DB2A0A2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0"/>
              <x14:cfIcon iconSet="3Symbols" iconId="1"/>
              <x14:cfIcon iconSet="3TrafficLights1" iconId="2"/>
            </x14:iconSet>
          </x14:cfRule>
          <xm:sqref>Q17</xm:sqref>
        </x14:conditionalFormatting>
        <x14:conditionalFormatting xmlns:xm="http://schemas.microsoft.com/office/excel/2006/main">
          <x14:cfRule type="expression" priority="5" id="{4E02045F-1E9C-474F-ACD1-69DE2E4DFFB8}">
            <xm:f>'Fill out report  تعبئة التقرير'!#REF!="Initiation"</xm:f>
            <x14:dxf>
              <font>
                <b/>
                <i/>
                <color rgb="FFFFFF00"/>
              </font>
              <fill>
                <patternFill>
                  <bgColor theme="6" tint="-0.24994659260841701"/>
                </patternFill>
              </fill>
            </x14:dxf>
          </x14:cfRule>
          <xm:sqref>M22</xm:sqref>
        </x14:conditionalFormatting>
        <x14:conditionalFormatting xmlns:xm="http://schemas.microsoft.com/office/excel/2006/main">
          <x14:cfRule type="expression" priority="83" id="{1175A993-AA07-4056-AC8F-9AEE5C784014}">
            <xm:f>'Fill out report  تعبئة التقرير'!#REF!="Planning"</xm:f>
            <x14:dxf>
              <font>
                <b/>
                <i/>
                <color rgb="FFFFFF00"/>
              </font>
              <fill>
                <patternFill>
                  <bgColor theme="6" tint="-0.24994659260841701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expression" priority="84" id="{2CBFAF07-98A8-408E-8B81-A00ACD8B83F6}">
            <xm:f>'Fill out report  تعبئة التقرير'!#REF!="Execution"</xm:f>
            <x14:dxf>
              <font>
                <b/>
                <i/>
                <color rgb="FFFFFF00"/>
              </font>
              <fill>
                <patternFill>
                  <bgColor theme="6" tint="-0.24994659260841701"/>
                </patternFill>
              </fill>
            </x14:dxf>
          </x14:cfRule>
          <xm:sqref>K14</xm:sqref>
        </x14:conditionalFormatting>
        <x14:conditionalFormatting xmlns:xm="http://schemas.microsoft.com/office/excel/2006/main">
          <x14:cfRule type="expression" priority="85" id="{280369DC-B323-42DA-A191-702BEB5E7EE2}">
            <xm:f>'Fill out report  تعبئة التقرير'!#REF!="Closure"</xm:f>
            <x14:dxf>
              <font>
                <b/>
                <i/>
                <color rgb="FFFFFF00"/>
              </font>
              <fill>
                <patternFill>
                  <bgColor theme="6" tint="-0.24994659260841701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expression" priority="86" id="{A9AB77FB-0AFE-4B4F-9C22-14C2AB5B5272}">
            <xm:f>'Fill out report  تعبئة التقرير'!#REF!="Initiation"</xm:f>
            <x14:dxf>
              <font>
                <b/>
                <i/>
                <color rgb="FFFFFF00"/>
              </font>
              <fill>
                <patternFill>
                  <bgColor theme="6" tint="-0.24994659260841701"/>
                </patternFill>
              </fill>
            </x14:dxf>
          </x14:cfRule>
          <xm:sqref>G15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CJ315"/>
  <sheetViews>
    <sheetView showGridLines="0" tabSelected="1" zoomScale="85" zoomScaleNormal="85" workbookViewId="0">
      <selection activeCell="P11" sqref="P11:R17"/>
    </sheetView>
  </sheetViews>
  <sheetFormatPr defaultColWidth="9.140625" defaultRowHeight="12.95" zeroHeight="1"/>
  <cols>
    <col min="1" max="2" width="1.42578125" style="320" customWidth="1"/>
    <col min="3" max="3" width="2.5703125" style="320" customWidth="1"/>
    <col min="4" max="4" width="1.5703125" style="323" customWidth="1"/>
    <col min="5" max="5" width="26.5703125" style="324" customWidth="1"/>
    <col min="6" max="6" width="5.5703125" style="323" customWidth="1"/>
    <col min="7" max="7" width="18.85546875" style="323" customWidth="1"/>
    <col min="8" max="8" width="12.5703125" style="323" customWidth="1"/>
    <col min="9" max="9" width="15.140625" style="323" customWidth="1"/>
    <col min="10" max="10" width="14.85546875" style="323" customWidth="1"/>
    <col min="11" max="11" width="11.85546875" style="323" customWidth="1"/>
    <col min="12" max="12" width="17" style="323" customWidth="1"/>
    <col min="13" max="13" width="5.140625" style="323" customWidth="1"/>
    <col min="14" max="14" width="12.42578125" style="323" customWidth="1"/>
    <col min="15" max="15" width="7.140625" style="323" customWidth="1"/>
    <col min="16" max="16" width="14" style="323" customWidth="1"/>
    <col min="17" max="17" width="15.42578125" style="323" customWidth="1"/>
    <col min="18" max="18" width="7.85546875" style="323" customWidth="1"/>
    <col min="19" max="19" width="1.5703125" style="320" customWidth="1"/>
    <col min="20" max="20" width="2.140625" style="323" customWidth="1"/>
    <col min="21" max="22" width="1.5703125" style="323" customWidth="1"/>
    <col min="23" max="37" width="9.140625" style="320" customWidth="1"/>
    <col min="38" max="38" width="22" style="320" customWidth="1"/>
    <col min="39" max="39" width="17.5703125" style="320" customWidth="1"/>
    <col min="40" max="40" width="21.42578125" style="320" customWidth="1"/>
    <col min="41" max="53" width="9.140625" style="320" customWidth="1"/>
    <col min="54" max="54" width="3.42578125" style="320" customWidth="1"/>
    <col min="55" max="55" width="6.42578125" style="320" customWidth="1"/>
    <col min="56" max="58" width="9.140625" style="320" customWidth="1"/>
    <col min="59" max="59" width="0.140625" style="320" customWidth="1"/>
    <col min="60" max="60" width="5.140625" style="320" customWidth="1"/>
    <col min="61" max="65" width="9.140625" style="320" customWidth="1"/>
    <col min="66" max="66" width="4.140625" style="320" customWidth="1"/>
    <col min="67" max="67" width="4" style="320" customWidth="1"/>
    <col min="68" max="68" width="11.85546875" style="320" customWidth="1"/>
    <col min="69" max="69" width="17.85546875" style="342" customWidth="1"/>
    <col min="70" max="70" width="7.140625" style="320" customWidth="1"/>
    <col min="71" max="75" width="9.140625" style="320" customWidth="1"/>
    <col min="76" max="88" width="9.140625" style="323" customWidth="1"/>
    <col min="89" max="16384" width="9.140625" style="323"/>
  </cols>
  <sheetData>
    <row r="1" spans="1:84" s="320" customFormat="1">
      <c r="E1" s="321"/>
      <c r="J1" s="322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239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</row>
    <row r="2" spans="1:84" ht="2.85" customHeight="1">
      <c r="B2" s="323"/>
      <c r="C2" s="323"/>
      <c r="S2" s="323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239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8"/>
      <c r="BY2" s="8"/>
      <c r="BZ2" s="8"/>
      <c r="CA2" s="8"/>
      <c r="CB2" s="8"/>
      <c r="CC2" s="8"/>
      <c r="CD2" s="8"/>
      <c r="CE2" s="8"/>
      <c r="CF2" s="8"/>
    </row>
    <row r="3" spans="1:84" s="325" customFormat="1" ht="16.7" customHeight="1">
      <c r="A3" s="320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239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8"/>
      <c r="BY3" s="8"/>
      <c r="BZ3" s="8"/>
      <c r="CA3" s="8"/>
      <c r="CB3" s="8"/>
      <c r="CC3" s="8"/>
      <c r="CD3" s="8"/>
      <c r="CE3" s="8"/>
      <c r="CF3" s="8"/>
    </row>
    <row r="4" spans="1:84" ht="5.45" customHeight="1">
      <c r="B4" s="5"/>
      <c r="C4" s="323"/>
      <c r="S4" s="323"/>
      <c r="V4" s="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239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8"/>
      <c r="BY4" s="8"/>
      <c r="BZ4" s="8"/>
      <c r="CA4" s="8"/>
      <c r="CB4" s="8"/>
      <c r="CC4" s="8"/>
      <c r="CD4" s="8"/>
      <c r="CE4" s="8"/>
      <c r="CF4" s="8"/>
    </row>
    <row r="5" spans="1:84" ht="3.6" customHeight="1">
      <c r="B5" s="5"/>
      <c r="C5" s="323"/>
      <c r="D5" s="326"/>
      <c r="E5" s="327"/>
      <c r="F5" s="326"/>
      <c r="G5" s="326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  <c r="T5" s="326"/>
      <c r="V5" s="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239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8"/>
      <c r="BY5" s="8"/>
      <c r="BZ5" s="8"/>
      <c r="CA5" s="8"/>
      <c r="CB5" s="8"/>
      <c r="CC5" s="8"/>
      <c r="CD5" s="8"/>
      <c r="CE5" s="8"/>
      <c r="CF5" s="8"/>
    </row>
    <row r="6" spans="1:84" s="8" customFormat="1" ht="9" customHeight="1">
      <c r="A6" s="45"/>
      <c r="B6" s="246"/>
      <c r="C6" s="271"/>
      <c r="D6" s="15"/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5"/>
      <c r="S6" s="45"/>
      <c r="T6" s="226"/>
      <c r="V6" s="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239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</row>
    <row r="7" spans="1:84" s="8" customFormat="1" ht="35.1" customHeight="1">
      <c r="A7" s="45"/>
      <c r="B7" s="5"/>
      <c r="C7" s="274"/>
      <c r="D7" s="317"/>
      <c r="E7" s="540" t="s">
        <v>38</v>
      </c>
      <c r="F7" s="540"/>
      <c r="G7" s="328"/>
      <c r="H7" s="300"/>
      <c r="I7" s="533"/>
      <c r="J7" s="533"/>
      <c r="K7" s="300"/>
      <c r="L7" s="300"/>
      <c r="M7" s="300"/>
      <c r="N7" s="300"/>
      <c r="O7" s="300"/>
      <c r="P7" s="300"/>
      <c r="Q7" s="300"/>
      <c r="R7" s="300"/>
      <c r="S7" s="300"/>
      <c r="T7" s="505"/>
      <c r="V7" s="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239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</row>
    <row r="8" spans="1:84" s="8" customFormat="1" ht="6.75" customHeight="1" thickBot="1">
      <c r="A8" s="45"/>
      <c r="B8" s="5"/>
      <c r="C8" s="274"/>
      <c r="D8" s="270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5"/>
      <c r="S8" s="45"/>
      <c r="T8" s="505"/>
      <c r="V8" s="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239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</row>
    <row r="9" spans="1:84" s="8" customFormat="1" ht="38.1" customHeight="1" thickBot="1">
      <c r="A9" s="45"/>
      <c r="B9" s="5"/>
      <c r="C9" s="274"/>
      <c r="D9" s="307"/>
      <c r="E9" s="518" t="s">
        <v>39</v>
      </c>
      <c r="F9" s="548"/>
      <c r="G9" s="548"/>
      <c r="H9" s="548"/>
      <c r="I9" s="548"/>
      <c r="J9" s="548"/>
      <c r="K9" s="548"/>
      <c r="L9" s="548"/>
      <c r="M9" s="548"/>
      <c r="N9" s="548"/>
      <c r="O9" s="548"/>
      <c r="P9" s="548"/>
      <c r="Q9" s="548"/>
      <c r="R9" s="549"/>
      <c r="S9" s="316"/>
      <c r="T9" s="505"/>
      <c r="V9" s="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239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</row>
    <row r="10" spans="1:84" s="8" customFormat="1" ht="3" customHeight="1" thickBot="1">
      <c r="A10" s="45"/>
      <c r="B10" s="5"/>
      <c r="C10" s="274"/>
      <c r="D10" s="270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505"/>
      <c r="V10" s="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239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</row>
    <row r="11" spans="1:84" s="325" customFormat="1" ht="30.6" customHeight="1">
      <c r="A11" s="320"/>
      <c r="B11" s="5"/>
      <c r="C11" s="274"/>
      <c r="D11" s="270"/>
      <c r="E11" s="377" t="s">
        <v>40</v>
      </c>
      <c r="F11" s="557"/>
      <c r="G11" s="557"/>
      <c r="H11" s="557"/>
      <c r="I11" s="557"/>
      <c r="J11" s="557"/>
      <c r="K11" s="557"/>
      <c r="L11" s="557"/>
      <c r="M11" s="640" t="s">
        <v>41</v>
      </c>
      <c r="N11" s="641"/>
      <c r="O11" s="642"/>
      <c r="P11" s="619"/>
      <c r="Q11" s="620"/>
      <c r="R11" s="621"/>
      <c r="S11" s="45"/>
      <c r="T11" s="505"/>
      <c r="U11" s="8"/>
      <c r="V11" s="5"/>
      <c r="W11" s="320"/>
      <c r="X11" s="320"/>
      <c r="Y11" s="320"/>
      <c r="Z11" s="320"/>
      <c r="AA11" s="320"/>
      <c r="AB11" s="320"/>
      <c r="AC11" s="320"/>
      <c r="AD11" s="320"/>
      <c r="AE11" s="320"/>
      <c r="AF11" s="320"/>
      <c r="AG11" s="320"/>
      <c r="AH11" s="320"/>
      <c r="AI11" s="320"/>
      <c r="AJ11" s="320"/>
      <c r="AK11" s="320"/>
      <c r="AL11" s="320"/>
      <c r="AM11" s="320"/>
      <c r="AN11" s="320"/>
      <c r="AO11" s="320"/>
      <c r="AP11" s="320"/>
      <c r="AQ11" s="320"/>
      <c r="AR11" s="320"/>
      <c r="AS11" s="320"/>
      <c r="AT11" s="320"/>
      <c r="AU11" s="320"/>
      <c r="AV11" s="320"/>
      <c r="AW11" s="320"/>
      <c r="AX11" s="320"/>
      <c r="AY11" s="320"/>
      <c r="AZ11" s="320"/>
      <c r="BA11" s="320"/>
      <c r="BB11" s="320"/>
      <c r="BC11" s="320"/>
      <c r="BD11" s="320"/>
      <c r="BE11" s="320"/>
      <c r="BF11" s="320"/>
      <c r="BG11" s="320"/>
      <c r="BH11" s="320"/>
      <c r="BI11" s="320"/>
      <c r="BJ11" s="320"/>
      <c r="BK11" s="320"/>
      <c r="BL11" s="320"/>
      <c r="BM11" s="320"/>
      <c r="BN11" s="320"/>
      <c r="BO11" s="320"/>
      <c r="BP11" s="320"/>
      <c r="BQ11" s="320"/>
      <c r="BR11" s="320"/>
      <c r="BS11" s="320"/>
      <c r="BT11" s="320"/>
      <c r="BU11" s="320"/>
      <c r="BV11" s="320"/>
      <c r="BW11" s="320"/>
    </row>
    <row r="12" spans="1:84" s="325" customFormat="1" ht="30.6" customHeight="1">
      <c r="A12" s="320"/>
      <c r="B12" s="5"/>
      <c r="C12" s="274"/>
      <c r="D12" s="270"/>
      <c r="E12" s="378" t="s">
        <v>42</v>
      </c>
      <c r="F12" s="650"/>
      <c r="G12" s="650"/>
      <c r="H12" s="470"/>
      <c r="I12" s="470"/>
      <c r="J12" s="470"/>
      <c r="K12" s="470"/>
      <c r="L12" s="470"/>
      <c r="M12" s="643" t="s">
        <v>43</v>
      </c>
      <c r="N12" s="644"/>
      <c r="O12" s="645"/>
      <c r="P12" s="633"/>
      <c r="Q12" s="620"/>
      <c r="R12" s="621"/>
      <c r="S12" s="45"/>
      <c r="T12" s="505"/>
      <c r="U12" s="8"/>
      <c r="V12" s="5"/>
      <c r="W12" s="320"/>
      <c r="X12" s="320"/>
      <c r="Y12" s="320"/>
      <c r="Z12" s="320"/>
      <c r="AA12" s="320"/>
      <c r="AB12" s="320"/>
      <c r="AC12" s="320"/>
      <c r="AD12" s="320"/>
      <c r="AE12" s="320"/>
      <c r="AF12" s="320"/>
      <c r="AG12" s="320"/>
      <c r="AH12" s="320"/>
      <c r="AI12" s="320"/>
      <c r="AJ12" s="320"/>
      <c r="AK12" s="320"/>
      <c r="AL12" s="320"/>
      <c r="AM12" s="320"/>
      <c r="AN12" s="320"/>
      <c r="AO12" s="320"/>
      <c r="AP12" s="320"/>
      <c r="AQ12" s="320"/>
      <c r="AR12" s="320"/>
      <c r="AS12" s="320"/>
      <c r="AT12" s="320"/>
      <c r="AU12" s="320"/>
      <c r="AV12" s="320"/>
      <c r="AW12" s="320"/>
      <c r="AX12" s="320"/>
      <c r="AY12" s="320"/>
      <c r="AZ12" s="320"/>
      <c r="BA12" s="320"/>
      <c r="BB12" s="320"/>
      <c r="BC12" s="320"/>
      <c r="BD12" s="320"/>
      <c r="BE12" s="320"/>
      <c r="BF12" s="320"/>
      <c r="BG12" s="320"/>
      <c r="BH12" s="320"/>
      <c r="BI12" s="320"/>
      <c r="BJ12" s="320"/>
      <c r="BK12" s="320"/>
      <c r="BL12" s="320"/>
      <c r="BM12" s="320"/>
      <c r="BN12" s="320"/>
      <c r="BO12" s="320"/>
      <c r="BP12" s="320"/>
      <c r="BQ12" s="320"/>
      <c r="BR12" s="320"/>
      <c r="BS12" s="320"/>
      <c r="BT12" s="320"/>
      <c r="BU12" s="320"/>
      <c r="BV12" s="320"/>
      <c r="BW12" s="320"/>
    </row>
    <row r="13" spans="1:84" s="325" customFormat="1" ht="30.6" customHeight="1">
      <c r="A13" s="320"/>
      <c r="B13" s="5"/>
      <c r="C13" s="274"/>
      <c r="D13" s="270"/>
      <c r="E13" s="378" t="s">
        <v>44</v>
      </c>
      <c r="F13" s="561"/>
      <c r="G13" s="561"/>
      <c r="H13" s="561"/>
      <c r="I13" s="561"/>
      <c r="J13" s="561"/>
      <c r="K13" s="561"/>
      <c r="L13" s="562"/>
      <c r="M13" s="646" t="s">
        <v>45</v>
      </c>
      <c r="N13" s="647"/>
      <c r="O13" s="648"/>
      <c r="P13" s="619"/>
      <c r="Q13" s="620"/>
      <c r="R13" s="621"/>
      <c r="S13" s="45"/>
      <c r="T13" s="505"/>
      <c r="U13" s="8"/>
      <c r="V13" s="5"/>
      <c r="W13" s="320"/>
      <c r="X13" s="320"/>
      <c r="Y13" s="320"/>
      <c r="Z13" s="320"/>
      <c r="AA13" s="320"/>
      <c r="AB13" s="320"/>
      <c r="AC13" s="320"/>
      <c r="AD13" s="320"/>
      <c r="AE13" s="320"/>
      <c r="AF13" s="320"/>
      <c r="AG13" s="320"/>
      <c r="AH13" s="320"/>
      <c r="AI13" s="320"/>
      <c r="AJ13" s="320"/>
      <c r="AK13" s="320"/>
      <c r="AL13" s="320"/>
      <c r="AM13" s="320"/>
      <c r="AN13" s="320"/>
      <c r="AO13" s="320"/>
      <c r="AP13" s="320"/>
      <c r="AQ13" s="320"/>
      <c r="AR13" s="320"/>
      <c r="AS13" s="320"/>
      <c r="AT13" s="320"/>
      <c r="AU13" s="320"/>
      <c r="AV13" s="320"/>
      <c r="AW13" s="320"/>
      <c r="AX13" s="320"/>
      <c r="AY13" s="320"/>
      <c r="AZ13" s="320"/>
      <c r="BA13" s="320"/>
      <c r="BB13" s="320"/>
      <c r="BC13" s="320"/>
      <c r="BD13" s="320"/>
      <c r="BE13" s="320"/>
      <c r="BF13" s="320"/>
      <c r="BG13" s="320"/>
      <c r="BH13" s="320"/>
      <c r="BI13" s="320"/>
      <c r="BJ13" s="320"/>
      <c r="BK13" s="320"/>
      <c r="BL13" s="320"/>
      <c r="BM13" s="320"/>
      <c r="BN13" s="320"/>
      <c r="BO13" s="320"/>
      <c r="BP13" s="320"/>
      <c r="BQ13" s="320"/>
      <c r="BR13" s="320"/>
      <c r="BS13" s="320"/>
      <c r="BT13" s="320"/>
      <c r="BU13" s="320"/>
      <c r="BV13" s="320"/>
      <c r="BW13" s="320"/>
    </row>
    <row r="14" spans="1:84" s="325" customFormat="1" ht="30.6" customHeight="1">
      <c r="A14" s="320"/>
      <c r="B14" s="5"/>
      <c r="C14" s="274"/>
      <c r="D14" s="270"/>
      <c r="E14" s="379" t="s">
        <v>46</v>
      </c>
      <c r="F14" s="550"/>
      <c r="G14" s="550"/>
      <c r="H14" s="550"/>
      <c r="I14" s="550"/>
      <c r="J14" s="550"/>
      <c r="K14" s="550"/>
      <c r="L14" s="550"/>
      <c r="M14" s="627" t="s">
        <v>47</v>
      </c>
      <c r="N14" s="628"/>
      <c r="O14" s="629"/>
      <c r="P14" s="634"/>
      <c r="Q14" s="635"/>
      <c r="R14" s="636"/>
      <c r="S14" s="45"/>
      <c r="T14" s="505"/>
      <c r="U14" s="8"/>
      <c r="V14" s="5"/>
      <c r="W14" s="320"/>
      <c r="X14" s="320"/>
      <c r="Y14" s="320"/>
      <c r="Z14" s="320"/>
      <c r="AA14" s="320"/>
      <c r="AB14" s="320"/>
      <c r="AC14" s="320"/>
      <c r="AD14" s="320"/>
      <c r="AE14" s="320"/>
      <c r="AF14" s="320"/>
      <c r="AG14" s="320"/>
      <c r="AH14" s="320"/>
      <c r="AI14" s="320"/>
      <c r="AJ14" s="320"/>
      <c r="AK14" s="320"/>
      <c r="AL14" s="320"/>
      <c r="AM14" s="320"/>
      <c r="AN14" s="320"/>
      <c r="AO14" s="320"/>
      <c r="AP14" s="320"/>
      <c r="AQ14" s="320"/>
      <c r="AR14" s="320"/>
      <c r="AS14" s="320"/>
      <c r="AT14" s="320"/>
      <c r="AU14" s="320"/>
      <c r="AV14" s="320"/>
      <c r="AW14" s="320"/>
      <c r="AX14" s="320"/>
      <c r="AY14" s="320"/>
      <c r="AZ14" s="320"/>
      <c r="BA14" s="320"/>
      <c r="BB14" s="320"/>
      <c r="BC14" s="320"/>
      <c r="BD14" s="320"/>
      <c r="BE14" s="320"/>
      <c r="BF14" s="320"/>
      <c r="BG14" s="320"/>
      <c r="BH14" s="320"/>
      <c r="BI14" s="320"/>
      <c r="BJ14" s="320"/>
      <c r="BK14" s="320"/>
      <c r="BL14" s="320"/>
      <c r="BM14" s="320"/>
      <c r="BN14" s="320"/>
      <c r="BO14" s="320"/>
      <c r="BP14" s="320"/>
      <c r="BQ14" s="320"/>
      <c r="BR14" s="320"/>
      <c r="BS14" s="320"/>
      <c r="BT14" s="320"/>
      <c r="BU14" s="320"/>
      <c r="BV14" s="320"/>
      <c r="BW14" s="320"/>
    </row>
    <row r="15" spans="1:84" s="325" customFormat="1" ht="30.6" customHeight="1">
      <c r="A15" s="320"/>
      <c r="B15" s="5"/>
      <c r="C15" s="274"/>
      <c r="D15" s="270"/>
      <c r="E15" s="380"/>
      <c r="F15" s="635"/>
      <c r="G15" s="635"/>
      <c r="H15" s="617"/>
      <c r="I15" s="617"/>
      <c r="J15" s="617"/>
      <c r="K15" s="617"/>
      <c r="L15" s="617"/>
      <c r="M15" s="627" t="s">
        <v>48</v>
      </c>
      <c r="N15" s="628"/>
      <c r="O15" s="649"/>
      <c r="P15" s="637"/>
      <c r="Q15" s="638"/>
      <c r="R15" s="639"/>
      <c r="S15" s="45"/>
      <c r="T15" s="505"/>
      <c r="U15" s="8"/>
      <c r="V15" s="5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0"/>
      <c r="AS15" s="320"/>
      <c r="AT15" s="320"/>
      <c r="AU15" s="320"/>
      <c r="AV15" s="320"/>
      <c r="AW15" s="320"/>
      <c r="AX15" s="320"/>
      <c r="AY15" s="320"/>
      <c r="AZ15" s="320"/>
      <c r="BA15" s="320"/>
      <c r="BB15" s="320"/>
      <c r="BC15" s="320"/>
      <c r="BD15" s="320"/>
      <c r="BE15" s="320"/>
      <c r="BF15" s="320"/>
      <c r="BG15" s="320"/>
      <c r="BH15" s="320"/>
      <c r="BI15" s="320"/>
      <c r="BJ15" s="320"/>
      <c r="BK15" s="320"/>
      <c r="BL15" s="320"/>
      <c r="BM15" s="320"/>
      <c r="BN15" s="320"/>
      <c r="BO15" s="320"/>
      <c r="BP15" s="320"/>
      <c r="BQ15" s="320"/>
      <c r="BR15" s="320"/>
      <c r="BS15" s="320"/>
      <c r="BT15" s="320"/>
      <c r="BU15" s="320"/>
      <c r="BV15" s="320"/>
      <c r="BW15" s="320"/>
    </row>
    <row r="16" spans="1:84" s="325" customFormat="1" ht="30.6" customHeight="1">
      <c r="A16" s="320"/>
      <c r="B16" s="5"/>
      <c r="C16" s="274"/>
      <c r="D16" s="270"/>
      <c r="E16" s="380" t="s">
        <v>49</v>
      </c>
      <c r="F16" s="613">
        <f>SUM(O28:P76)</f>
        <v>0</v>
      </c>
      <c r="G16" s="613"/>
      <c r="H16" s="614"/>
      <c r="I16" s="614"/>
      <c r="J16" s="615"/>
      <c r="K16" s="615"/>
      <c r="L16" s="387"/>
      <c r="M16" s="627" t="s">
        <v>50</v>
      </c>
      <c r="N16" s="628"/>
      <c r="O16" s="629"/>
      <c r="P16" s="619"/>
      <c r="Q16" s="620"/>
      <c r="R16" s="621"/>
      <c r="S16" s="45"/>
      <c r="T16" s="505"/>
      <c r="U16" s="8"/>
      <c r="V16" s="5"/>
      <c r="W16" s="320"/>
      <c r="X16" s="320"/>
      <c r="Y16" s="320"/>
      <c r="Z16" s="320"/>
      <c r="AA16" s="320"/>
      <c r="AB16" s="320"/>
      <c r="AC16" s="320"/>
      <c r="AD16" s="320"/>
      <c r="AE16" s="320"/>
      <c r="AF16" s="320"/>
      <c r="AG16" s="320"/>
      <c r="AH16" s="320"/>
      <c r="AI16" s="320"/>
      <c r="AJ16" s="320"/>
      <c r="AK16" s="320"/>
      <c r="AL16" s="320"/>
      <c r="AM16" s="320"/>
      <c r="AN16" s="320"/>
      <c r="AO16" s="320"/>
      <c r="AP16" s="320"/>
      <c r="AQ16" s="320"/>
      <c r="AR16" s="320"/>
      <c r="AS16" s="320"/>
      <c r="AT16" s="320"/>
      <c r="AU16" s="320"/>
      <c r="AV16" s="320"/>
      <c r="AW16" s="320"/>
      <c r="AX16" s="320"/>
      <c r="AY16" s="320"/>
      <c r="AZ16" s="320"/>
      <c r="BA16" s="320"/>
      <c r="BB16" s="320"/>
      <c r="BC16" s="320"/>
      <c r="BD16" s="320"/>
      <c r="BE16" s="320"/>
      <c r="BF16" s="320"/>
      <c r="BG16" s="320"/>
      <c r="BH16" s="320"/>
      <c r="BI16" s="320"/>
      <c r="BJ16" s="320"/>
      <c r="BK16" s="320"/>
      <c r="BL16" s="320"/>
      <c r="BM16" s="320"/>
      <c r="BN16" s="320"/>
      <c r="BO16" s="320"/>
      <c r="BP16" s="320"/>
      <c r="BQ16" s="320"/>
      <c r="BR16" s="320"/>
      <c r="BS16" s="320"/>
      <c r="BT16" s="320"/>
      <c r="BU16" s="320"/>
      <c r="BV16" s="320"/>
      <c r="BW16" s="320"/>
    </row>
    <row r="17" spans="1:75" s="325" customFormat="1" ht="30.6" customHeight="1" thickBot="1">
      <c r="A17" s="320"/>
      <c r="B17" s="5"/>
      <c r="C17" s="274"/>
      <c r="D17" s="270"/>
      <c r="E17" s="381" t="s">
        <v>51</v>
      </c>
      <c r="F17" s="565">
        <f>SUMIF(Q28:Q76, "Yes",O28:O76)</f>
        <v>0</v>
      </c>
      <c r="G17" s="565"/>
      <c r="H17" s="618"/>
      <c r="I17" s="618"/>
      <c r="J17" s="618"/>
      <c r="K17" s="618"/>
      <c r="L17" s="618"/>
      <c r="M17" s="570" t="s">
        <v>52</v>
      </c>
      <c r="N17" s="571"/>
      <c r="O17" s="571"/>
      <c r="P17" s="622"/>
      <c r="Q17" s="623"/>
      <c r="R17" s="624"/>
      <c r="S17" s="45"/>
      <c r="T17" s="505"/>
      <c r="U17" s="8"/>
      <c r="V17" s="5"/>
      <c r="W17" s="320"/>
      <c r="X17" s="320"/>
      <c r="Y17" s="320"/>
      <c r="Z17" s="320"/>
      <c r="AA17" s="320"/>
      <c r="AB17" s="320"/>
      <c r="AC17" s="320"/>
      <c r="AD17" s="320"/>
      <c r="AE17" s="320"/>
      <c r="AF17" s="320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  <c r="AS17" s="320"/>
      <c r="AT17" s="320"/>
      <c r="AU17" s="320"/>
      <c r="AV17" s="320"/>
      <c r="AW17" s="320"/>
      <c r="AX17" s="320"/>
      <c r="AY17" s="320"/>
      <c r="AZ17" s="320"/>
      <c r="BA17" s="320"/>
      <c r="BB17" s="320"/>
      <c r="BC17" s="320"/>
      <c r="BD17" s="320"/>
      <c r="BE17" s="320"/>
      <c r="BF17" s="320"/>
      <c r="BG17" s="320"/>
      <c r="BH17" s="320"/>
      <c r="BI17" s="320"/>
      <c r="BJ17" s="320"/>
      <c r="BK17" s="320"/>
      <c r="BL17" s="320"/>
      <c r="BM17" s="320"/>
      <c r="BN17" s="320"/>
      <c r="BO17" s="320"/>
      <c r="BP17" s="320"/>
      <c r="BQ17" s="320"/>
      <c r="BR17" s="320"/>
      <c r="BS17" s="320"/>
      <c r="BT17" s="320"/>
      <c r="BU17" s="320"/>
      <c r="BV17" s="320"/>
      <c r="BW17" s="320"/>
    </row>
    <row r="18" spans="1:75" s="8" customFormat="1" ht="14.25" customHeight="1" thickBot="1">
      <c r="A18" s="45"/>
      <c r="B18" s="5"/>
      <c r="C18" s="274"/>
      <c r="D18" s="270"/>
      <c r="E18" s="279"/>
      <c r="F18" s="329"/>
      <c r="G18" s="329"/>
      <c r="H18" s="329"/>
      <c r="I18" s="329"/>
      <c r="J18" s="329"/>
      <c r="K18" s="329"/>
      <c r="L18" s="329"/>
      <c r="M18" s="329"/>
      <c r="N18" s="329"/>
      <c r="O18" s="329"/>
      <c r="P18" s="272"/>
      <c r="Q18" s="282"/>
      <c r="R18" s="282"/>
      <c r="S18" s="282"/>
      <c r="T18" s="505"/>
      <c r="V18" s="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239"/>
      <c r="BR18" s="45"/>
      <c r="BS18" s="45"/>
      <c r="BT18" s="45"/>
      <c r="BU18" s="45"/>
      <c r="BV18" s="45"/>
      <c r="BW18" s="45"/>
    </row>
    <row r="19" spans="1:75" s="8" customFormat="1" ht="32.450000000000003" customHeight="1" thickBot="1">
      <c r="A19" s="45"/>
      <c r="B19" s="227"/>
      <c r="C19" s="274"/>
      <c r="D19" s="270"/>
      <c r="E19" s="330" t="s">
        <v>53</v>
      </c>
      <c r="F19" s="303">
        <f>IFERROR(((($F$21*0.51)+($F$22*0.29)+($F$23*0.2))),"")</f>
        <v>3</v>
      </c>
      <c r="G19" s="563" t="str">
        <f>(IF(F19&gt;=2.7,"وفق المخطط له  [On Track]",IF(F19&gt;=2,"تقريبا وفق المخطط له  [Generally On Track]",IF(F19 &lt;2,"خارج المخطط له  [ Off  Track]","--"))))</f>
        <v>وفق المخطط له  [On Track]</v>
      </c>
      <c r="H19" s="564"/>
      <c r="I19" s="304"/>
      <c r="J19" s="304"/>
      <c r="K19" s="304"/>
      <c r="L19" s="304"/>
      <c r="M19" s="304"/>
      <c r="N19" s="304"/>
      <c r="O19" s="305">
        <v>3</v>
      </c>
      <c r="P19" s="534" t="s">
        <v>54</v>
      </c>
      <c r="Q19" s="535"/>
      <c r="R19" s="536"/>
      <c r="S19" s="45"/>
      <c r="T19" s="505"/>
      <c r="V19" s="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239"/>
      <c r="BP19" s="45"/>
      <c r="BQ19" s="45"/>
      <c r="BR19" s="45"/>
      <c r="BS19" s="45"/>
      <c r="BT19" s="45"/>
      <c r="BU19" s="45"/>
      <c r="BV19" s="45"/>
      <c r="BW19" s="45"/>
    </row>
    <row r="20" spans="1:75" s="8" customFormat="1" ht="18" customHeight="1">
      <c r="A20" s="45"/>
      <c r="B20" s="227"/>
      <c r="C20" s="274"/>
      <c r="D20" s="270"/>
      <c r="E20" s="558" t="s">
        <v>55</v>
      </c>
      <c r="F20" s="559"/>
      <c r="G20" s="559"/>
      <c r="H20" s="559"/>
      <c r="I20" s="560"/>
      <c r="J20" s="560"/>
      <c r="K20" s="560"/>
      <c r="L20" s="560"/>
      <c r="M20" s="560"/>
      <c r="N20" s="560"/>
      <c r="O20" s="560"/>
      <c r="P20" s="560"/>
      <c r="Q20" s="560"/>
      <c r="R20" s="385"/>
      <c r="S20" s="45"/>
      <c r="T20" s="505"/>
      <c r="V20" s="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239"/>
      <c r="BP20" s="45"/>
      <c r="BQ20" s="45"/>
      <c r="BR20" s="45"/>
      <c r="BS20" s="45"/>
      <c r="BT20" s="45"/>
      <c r="BU20" s="45"/>
      <c r="BV20" s="45"/>
      <c r="BW20" s="45"/>
    </row>
    <row r="21" spans="1:75" s="8" customFormat="1" ht="33.950000000000003" customHeight="1">
      <c r="A21" s="45"/>
      <c r="B21" s="227"/>
      <c r="C21" s="274"/>
      <c r="D21" s="270"/>
      <c r="E21" s="382" t="s">
        <v>56</v>
      </c>
      <c r="F21" s="386">
        <f>IF( (Q96-Q94) &lt;= 5%,3,IF((Q96-Q94)&gt;15%,1,2) )</f>
        <v>3</v>
      </c>
      <c r="G21" s="600" t="str">
        <f>IF(F21="","",LOOKUP(F21, {1,2,3}, {" متأخر   [Unmanaged Delayed] ","احتمال وجود تأخير  [ Managed Delayed]"," وفق الخطة  [On-Time]"}))</f>
        <v xml:space="preserve"> وفق الخطة  [On-Time]</v>
      </c>
      <c r="H21" s="601"/>
      <c r="I21" s="602"/>
      <c r="J21" s="603"/>
      <c r="K21" s="603"/>
      <c r="L21" s="603"/>
      <c r="M21" s="603"/>
      <c r="N21" s="603"/>
      <c r="O21" s="603"/>
      <c r="P21" s="603"/>
      <c r="Q21" s="603"/>
      <c r="R21" s="604"/>
      <c r="S21" s="45"/>
      <c r="T21" s="505"/>
      <c r="V21" s="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239"/>
      <c r="BP21" s="45"/>
      <c r="BQ21" s="45"/>
      <c r="BR21" s="45"/>
      <c r="BS21" s="45"/>
      <c r="BT21" s="45"/>
      <c r="BU21" s="45"/>
      <c r="BV21" s="45"/>
      <c r="BW21" s="45"/>
    </row>
    <row r="22" spans="1:75" s="8" customFormat="1" ht="33.950000000000003" customHeight="1">
      <c r="A22" s="45"/>
      <c r="B22" s="227"/>
      <c r="C22" s="274"/>
      <c r="D22" s="270"/>
      <c r="E22" s="383" t="s">
        <v>57</v>
      </c>
      <c r="F22" s="301">
        <v>3</v>
      </c>
      <c r="G22" s="609" t="str">
        <f>IF(F22="","",LOOKUP(F22, {1,2,3}, {"خارج النطاق  [Uncontrolled]","تغيرات مقبولة  [Accepted Variance]","ضمن النطاق  [Controlled]"}))</f>
        <v>ضمن النطاق  [Controlled]</v>
      </c>
      <c r="H22" s="610"/>
      <c r="I22" s="605"/>
      <c r="J22" s="605"/>
      <c r="K22" s="605"/>
      <c r="L22" s="605"/>
      <c r="M22" s="605"/>
      <c r="N22" s="605"/>
      <c r="O22" s="605"/>
      <c r="P22" s="605"/>
      <c r="Q22" s="605"/>
      <c r="R22" s="606"/>
      <c r="S22" s="45"/>
      <c r="T22" s="505"/>
      <c r="V22" s="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239"/>
      <c r="BP22" s="45"/>
      <c r="BQ22" s="45"/>
      <c r="BR22" s="45"/>
      <c r="BS22" s="45"/>
      <c r="BT22" s="45"/>
      <c r="BU22" s="45"/>
      <c r="BV22" s="45"/>
      <c r="BW22" s="45"/>
    </row>
    <row r="23" spans="1:75" s="8" customFormat="1" ht="33.950000000000003" customHeight="1" thickBot="1">
      <c r="A23" s="45"/>
      <c r="B23" s="227"/>
      <c r="C23" s="274"/>
      <c r="D23" s="270"/>
      <c r="E23" s="384" t="s">
        <v>58</v>
      </c>
      <c r="F23" s="306">
        <v>3</v>
      </c>
      <c r="G23" s="631" t="str">
        <f>IF(F23="","",LOOKUP(F23, {1,2,3}, {"معوقات عالية  [High Issue]","معوقات متوسطة  [Midum Issue]","لا يوجد معوقات  [No Issue]"}))</f>
        <v>لا يوجد معوقات  [No Issue]</v>
      </c>
      <c r="H23" s="632"/>
      <c r="I23" s="607"/>
      <c r="J23" s="607"/>
      <c r="K23" s="607"/>
      <c r="L23" s="607"/>
      <c r="M23" s="607"/>
      <c r="N23" s="607"/>
      <c r="O23" s="607"/>
      <c r="P23" s="607"/>
      <c r="Q23" s="607"/>
      <c r="R23" s="608"/>
      <c r="S23" s="45"/>
      <c r="T23" s="505"/>
      <c r="V23" s="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239"/>
      <c r="BP23" s="45"/>
      <c r="BQ23" s="45"/>
      <c r="BR23" s="45"/>
      <c r="BS23" s="45"/>
      <c r="BT23" s="45"/>
      <c r="BU23" s="45"/>
      <c r="BV23" s="45"/>
      <c r="BW23" s="45"/>
    </row>
    <row r="24" spans="1:75" s="8" customFormat="1" ht="14.25" customHeight="1" thickBot="1">
      <c r="A24" s="45"/>
      <c r="B24" s="5"/>
      <c r="C24" s="274"/>
      <c r="D24" s="270"/>
      <c r="E24" s="572"/>
      <c r="F24" s="572"/>
      <c r="G24" s="572"/>
      <c r="H24" s="572"/>
      <c r="I24" s="572"/>
      <c r="J24" s="572"/>
      <c r="K24" s="572"/>
      <c r="L24" s="572"/>
      <c r="M24" s="572"/>
      <c r="N24" s="572"/>
      <c r="O24" s="572"/>
      <c r="P24" s="572"/>
      <c r="Q24" s="572"/>
      <c r="R24" s="282"/>
      <c r="S24" s="45"/>
      <c r="T24" s="505"/>
      <c r="V24" s="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239"/>
      <c r="BP24" s="45"/>
      <c r="BQ24" s="45"/>
      <c r="BR24" s="45"/>
      <c r="BS24" s="45"/>
      <c r="BT24" s="45"/>
      <c r="BU24" s="45"/>
      <c r="BV24" s="45"/>
      <c r="BW24" s="45"/>
    </row>
    <row r="25" spans="1:75" s="325" customFormat="1" ht="35.450000000000003" customHeight="1" thickBot="1">
      <c r="A25" s="320"/>
      <c r="B25" s="5"/>
      <c r="C25" s="274"/>
      <c r="D25" s="270"/>
      <c r="E25" s="654" t="s">
        <v>59</v>
      </c>
      <c r="F25" s="655"/>
      <c r="G25" s="655"/>
      <c r="H25" s="655"/>
      <c r="I25" s="655"/>
      <c r="J25" s="655"/>
      <c r="K25" s="655"/>
      <c r="L25" s="655"/>
      <c r="M25" s="655"/>
      <c r="N25" s="655"/>
      <c r="O25" s="655"/>
      <c r="P25" s="655"/>
      <c r="Q25" s="655"/>
      <c r="R25" s="656"/>
      <c r="S25" s="45"/>
      <c r="T25" s="505"/>
      <c r="U25" s="8"/>
      <c r="V25" s="5"/>
      <c r="W25" s="320"/>
      <c r="X25" s="320"/>
      <c r="Y25" s="320"/>
      <c r="Z25" s="320"/>
      <c r="AA25" s="320"/>
      <c r="AB25" s="320"/>
      <c r="AC25" s="320"/>
      <c r="AD25" s="320"/>
      <c r="AE25" s="320"/>
      <c r="AF25" s="320"/>
      <c r="AG25" s="320"/>
      <c r="AH25" s="320"/>
      <c r="AI25" s="320"/>
      <c r="AJ25" s="320"/>
      <c r="AK25" s="320"/>
      <c r="AL25" s="320"/>
      <c r="AM25" s="320"/>
      <c r="AN25" s="320"/>
      <c r="AO25" s="320"/>
      <c r="AP25" s="320"/>
      <c r="AQ25" s="320"/>
      <c r="AR25" s="320"/>
      <c r="AS25" s="320"/>
      <c r="AT25" s="320"/>
      <c r="AU25" s="320"/>
      <c r="AV25" s="320"/>
      <c r="AW25" s="320"/>
      <c r="AX25" s="320"/>
      <c r="AY25" s="320"/>
      <c r="AZ25" s="320"/>
      <c r="BA25" s="320"/>
      <c r="BB25" s="320"/>
      <c r="BC25" s="320"/>
      <c r="BD25" s="320"/>
      <c r="BE25" s="320"/>
      <c r="BF25" s="320"/>
      <c r="BG25" s="320"/>
      <c r="BH25" s="320"/>
      <c r="BI25" s="320"/>
      <c r="BJ25" s="320"/>
      <c r="BK25" s="320"/>
      <c r="BL25" s="320"/>
      <c r="BM25" s="320"/>
      <c r="BN25" s="320"/>
      <c r="BO25" s="320"/>
      <c r="BP25" s="320"/>
      <c r="BQ25" s="320"/>
      <c r="BR25" s="320"/>
      <c r="BS25" s="320"/>
      <c r="BT25" s="320"/>
      <c r="BU25" s="320"/>
      <c r="BV25" s="320"/>
      <c r="BW25" s="320"/>
    </row>
    <row r="26" spans="1:75" s="325" customFormat="1" ht="3" customHeight="1" thickBot="1">
      <c r="A26" s="320"/>
      <c r="B26" s="5"/>
      <c r="C26" s="274"/>
      <c r="D26" s="270"/>
      <c r="E26" s="657"/>
      <c r="F26" s="657"/>
      <c r="G26" s="657"/>
      <c r="H26" s="657"/>
      <c r="I26" s="657"/>
      <c r="J26" s="657"/>
      <c r="K26" s="657"/>
      <c r="L26" s="657"/>
      <c r="M26" s="657"/>
      <c r="N26" s="657"/>
      <c r="O26" s="657"/>
      <c r="P26" s="657"/>
      <c r="Q26" s="657"/>
      <c r="R26" s="657"/>
      <c r="S26" s="45"/>
      <c r="T26" s="505"/>
      <c r="U26" s="8"/>
      <c r="V26" s="5"/>
      <c r="W26" s="320"/>
      <c r="X26" s="320"/>
      <c r="Y26" s="320"/>
      <c r="Z26" s="320"/>
      <c r="AA26" s="320"/>
      <c r="AB26" s="320"/>
      <c r="AC26" s="320"/>
      <c r="AD26" s="320"/>
      <c r="AE26" s="320"/>
      <c r="AF26" s="320"/>
      <c r="AG26" s="320"/>
      <c r="AH26" s="320"/>
      <c r="AI26" s="320"/>
      <c r="AJ26" s="320"/>
      <c r="AK26" s="320"/>
      <c r="AL26" s="320"/>
      <c r="AM26" s="320"/>
      <c r="AN26" s="320"/>
      <c r="AO26" s="320"/>
      <c r="AP26" s="320"/>
      <c r="AQ26" s="320"/>
      <c r="AR26" s="320"/>
      <c r="AS26" s="320"/>
      <c r="AT26" s="320"/>
      <c r="AU26" s="320"/>
      <c r="AV26" s="320"/>
      <c r="AW26" s="320"/>
      <c r="AX26" s="320"/>
      <c r="AY26" s="320"/>
      <c r="AZ26" s="320"/>
      <c r="BA26" s="320"/>
      <c r="BB26" s="320"/>
      <c r="BC26" s="320"/>
      <c r="BD26" s="320"/>
      <c r="BE26" s="320"/>
      <c r="BF26" s="320"/>
      <c r="BG26" s="320"/>
      <c r="BH26" s="320"/>
      <c r="BI26" s="320"/>
      <c r="BJ26" s="320"/>
      <c r="BK26" s="320"/>
      <c r="BL26" s="320"/>
      <c r="BM26" s="320"/>
      <c r="BN26" s="320"/>
      <c r="BO26" s="320"/>
      <c r="BP26" s="320"/>
      <c r="BQ26" s="320"/>
      <c r="BR26" s="320"/>
      <c r="BS26" s="320"/>
      <c r="BT26" s="320"/>
      <c r="BU26" s="320"/>
      <c r="BV26" s="320"/>
      <c r="BW26" s="320"/>
    </row>
    <row r="27" spans="1:75" s="325" customFormat="1" ht="27.95" customHeight="1" thickBot="1">
      <c r="A27" s="320"/>
      <c r="B27" s="5"/>
      <c r="C27" s="274"/>
      <c r="D27" s="270"/>
      <c r="E27" s="663" t="s">
        <v>60</v>
      </c>
      <c r="F27" s="630"/>
      <c r="G27" s="630"/>
      <c r="H27" s="626"/>
      <c r="I27" s="417" t="s">
        <v>61</v>
      </c>
      <c r="J27" s="418" t="s">
        <v>62</v>
      </c>
      <c r="K27" s="417" t="s">
        <v>63</v>
      </c>
      <c r="L27" s="625" t="s">
        <v>64</v>
      </c>
      <c r="M27" s="630"/>
      <c r="N27" s="626"/>
      <c r="O27" s="625" t="s">
        <v>65</v>
      </c>
      <c r="P27" s="626"/>
      <c r="Q27" s="417" t="s">
        <v>66</v>
      </c>
      <c r="R27" s="419" t="s">
        <v>67</v>
      </c>
      <c r="S27" s="45"/>
      <c r="T27" s="505"/>
      <c r="U27" s="323"/>
      <c r="V27" s="5"/>
      <c r="W27" s="320"/>
      <c r="X27" s="320"/>
      <c r="Y27" s="320"/>
      <c r="Z27" s="320"/>
      <c r="AA27" s="320"/>
      <c r="AB27" s="320"/>
      <c r="AC27" s="320"/>
      <c r="AD27" s="320"/>
      <c r="AE27" s="320"/>
      <c r="AF27" s="320"/>
      <c r="AG27" s="320"/>
      <c r="AH27" s="320"/>
      <c r="AI27" s="320"/>
      <c r="AJ27" s="320"/>
      <c r="AK27" s="320"/>
      <c r="AL27" s="320"/>
      <c r="AM27" s="320"/>
      <c r="AN27" s="320"/>
      <c r="AO27" s="320"/>
      <c r="AP27" s="320"/>
      <c r="AQ27" s="320"/>
      <c r="AR27" s="320"/>
      <c r="AS27" s="320"/>
      <c r="AT27" s="320"/>
      <c r="AU27" s="320"/>
      <c r="AV27" s="320"/>
      <c r="AW27" s="320"/>
      <c r="AX27" s="320"/>
      <c r="AY27" s="320"/>
      <c r="AZ27" s="320"/>
      <c r="BA27" s="320"/>
      <c r="BB27" s="320"/>
      <c r="BC27" s="320"/>
      <c r="BD27" s="320"/>
      <c r="BE27" s="320"/>
      <c r="BF27" s="320"/>
      <c r="BG27" s="320"/>
      <c r="BH27" s="320"/>
      <c r="BI27" s="320"/>
      <c r="BJ27" s="320"/>
      <c r="BK27" s="320"/>
      <c r="BL27" s="320"/>
      <c r="BM27" s="320"/>
      <c r="BN27" s="320"/>
      <c r="BO27" s="320"/>
      <c r="BP27" s="320"/>
      <c r="BQ27" s="320"/>
      <c r="BR27" s="320"/>
      <c r="BS27" s="320"/>
      <c r="BT27" s="320"/>
      <c r="BU27" s="320"/>
      <c r="BV27" s="320"/>
      <c r="BW27" s="320"/>
    </row>
    <row r="28" spans="1:75" s="325" customFormat="1" ht="29.45" customHeight="1">
      <c r="A28" s="320"/>
      <c r="B28" s="5"/>
      <c r="C28" s="274"/>
      <c r="D28" s="270"/>
      <c r="E28" s="664"/>
      <c r="F28" s="665"/>
      <c r="G28" s="665"/>
      <c r="H28" s="666"/>
      <c r="I28" s="461"/>
      <c r="J28" s="461"/>
      <c r="K28" s="426"/>
      <c r="L28" s="616"/>
      <c r="M28" s="616"/>
      <c r="N28" s="616"/>
      <c r="O28" s="661"/>
      <c r="P28" s="662"/>
      <c r="Q28" s="463"/>
      <c r="R28" s="427" t="str">
        <f ca="1">IF(J28="","",IF(AND(J28&lt;=TODAY(),K28&lt;100%),1,IF(AND(K28=100%,L28&gt;"",Q28&lt;&gt;"Yes"),2,IF(OR(AND(J28&gt;=Q28,Q28&lt;&gt;"",J28&gt;TODAY()),J28&gt;TODAY()),3,IF(AND(J28&lt;&gt;"",Q28&lt;&gt;"",K28=100%),3,3)))))</f>
        <v/>
      </c>
      <c r="S28" s="45"/>
      <c r="T28" s="505"/>
      <c r="U28" s="323"/>
      <c r="V28" s="5"/>
      <c r="W28" s="320"/>
      <c r="X28" s="320"/>
      <c r="Y28" s="320"/>
      <c r="Z28" s="320"/>
      <c r="AA28" s="320"/>
      <c r="AB28" s="320"/>
      <c r="AC28" s="320"/>
      <c r="AD28" s="320"/>
      <c r="AE28" s="320"/>
      <c r="AF28" s="320"/>
      <c r="AG28" s="320"/>
      <c r="AH28" s="320"/>
      <c r="AI28" s="320"/>
      <c r="AJ28" s="320"/>
      <c r="AK28" s="320"/>
      <c r="AL28" s="320"/>
      <c r="AM28" s="320"/>
      <c r="AN28" s="320"/>
      <c r="AO28" s="320"/>
      <c r="AP28" s="320"/>
      <c r="AQ28" s="320"/>
      <c r="AR28" s="320"/>
      <c r="AS28" s="320"/>
      <c r="AT28" s="320"/>
      <c r="AU28" s="320"/>
      <c r="AV28" s="320"/>
      <c r="AW28" s="320"/>
      <c r="AX28" s="320"/>
      <c r="AY28" s="320"/>
      <c r="AZ28" s="320"/>
      <c r="BA28" s="320"/>
      <c r="BB28" s="320"/>
      <c r="BC28" s="320"/>
      <c r="BD28" s="320"/>
      <c r="BE28" s="320"/>
      <c r="BF28" s="320"/>
      <c r="BG28" s="320"/>
      <c r="BH28" s="320"/>
      <c r="BI28" s="320"/>
      <c r="BJ28" s="320"/>
      <c r="BK28" s="320"/>
      <c r="BL28" s="320"/>
      <c r="BM28" s="320"/>
      <c r="BN28" s="320"/>
      <c r="BO28" s="320"/>
      <c r="BP28" s="320"/>
      <c r="BQ28" s="320"/>
      <c r="BR28" s="320"/>
      <c r="BS28" s="320"/>
      <c r="BT28" s="320"/>
      <c r="BU28" s="320"/>
      <c r="BV28" s="320"/>
      <c r="BW28" s="320"/>
    </row>
    <row r="29" spans="1:75" s="325" customFormat="1" ht="29.45" customHeight="1">
      <c r="A29" s="320"/>
      <c r="B29" s="5"/>
      <c r="C29" s="274"/>
      <c r="D29" s="270"/>
      <c r="E29" s="597"/>
      <c r="F29" s="598"/>
      <c r="G29" s="598"/>
      <c r="H29" s="599"/>
      <c r="I29" s="462"/>
      <c r="J29" s="462"/>
      <c r="K29" s="423"/>
      <c r="L29" s="472"/>
      <c r="M29" s="473"/>
      <c r="N29" s="474"/>
      <c r="O29" s="611"/>
      <c r="P29" s="612"/>
      <c r="Q29" s="464"/>
      <c r="R29" s="428" t="str">
        <f t="shared" ref="R29:R58" ca="1" si="0">IF(J29="","",IF(AND(J29&lt;=TODAY(),K29&lt;100%),1,IF(AND(K29=100%,L29&gt;"",Q29&lt;&gt;"Yes"),2,IF(OR(AND(J29&gt;=Q29,Q29&lt;&gt;"",J29&gt;TODAY()),J29&gt;TODAY()),3,IF(AND(J29&lt;&gt;"",Q29&lt;&gt;"",K29=100%),3,3)))))</f>
        <v/>
      </c>
      <c r="S29" s="45"/>
      <c r="T29" s="505"/>
      <c r="U29" s="323"/>
      <c r="V29" s="5"/>
      <c r="W29" s="320"/>
      <c r="X29" s="320"/>
      <c r="Y29" s="320"/>
      <c r="Z29" s="320"/>
      <c r="AA29" s="320"/>
      <c r="AB29" s="320"/>
      <c r="AC29" s="320"/>
      <c r="AD29" s="320"/>
      <c r="AE29" s="320"/>
      <c r="AF29" s="320"/>
      <c r="AG29" s="320"/>
      <c r="AH29" s="320"/>
      <c r="AI29" s="320"/>
      <c r="AJ29" s="320"/>
      <c r="AK29" s="320"/>
      <c r="AL29" s="320"/>
      <c r="AM29" s="320"/>
      <c r="AN29" s="320"/>
      <c r="AO29" s="320"/>
      <c r="AP29" s="320"/>
      <c r="AQ29" s="320"/>
      <c r="AR29" s="320"/>
      <c r="AS29" s="320"/>
      <c r="AT29" s="320"/>
      <c r="AU29" s="320"/>
      <c r="AV29" s="320"/>
      <c r="AW29" s="320"/>
      <c r="AX29" s="320"/>
      <c r="AY29" s="320"/>
      <c r="AZ29" s="320"/>
      <c r="BA29" s="320"/>
      <c r="BB29" s="320"/>
      <c r="BC29" s="320"/>
      <c r="BD29" s="320"/>
      <c r="BE29" s="320"/>
      <c r="BF29" s="320"/>
      <c r="BG29" s="320"/>
      <c r="BH29" s="320"/>
      <c r="BI29" s="320"/>
      <c r="BJ29" s="320"/>
      <c r="BK29" s="320"/>
      <c r="BL29" s="320"/>
      <c r="BM29" s="320"/>
      <c r="BN29" s="320"/>
      <c r="BO29" s="320"/>
      <c r="BP29" s="320"/>
      <c r="BQ29" s="320"/>
      <c r="BR29" s="320"/>
      <c r="BS29" s="320"/>
      <c r="BT29" s="320"/>
      <c r="BU29" s="320"/>
      <c r="BV29" s="320"/>
      <c r="BW29" s="320"/>
    </row>
    <row r="30" spans="1:75" s="325" customFormat="1" ht="29.45" customHeight="1">
      <c r="A30" s="320"/>
      <c r="B30" s="5"/>
      <c r="C30" s="274"/>
      <c r="D30" s="270"/>
      <c r="E30" s="597"/>
      <c r="F30" s="598"/>
      <c r="G30" s="598"/>
      <c r="H30" s="599"/>
      <c r="I30" s="462"/>
      <c r="J30" s="462"/>
      <c r="K30" s="423"/>
      <c r="L30" s="472"/>
      <c r="M30" s="473"/>
      <c r="N30" s="474"/>
      <c r="O30" s="611"/>
      <c r="P30" s="612"/>
      <c r="Q30" s="464"/>
      <c r="R30" s="428" t="str">
        <f t="shared" ca="1" si="0"/>
        <v/>
      </c>
      <c r="S30" s="45"/>
      <c r="T30" s="505"/>
      <c r="U30" s="323"/>
      <c r="V30" s="5"/>
      <c r="W30" s="320"/>
      <c r="X30" s="320"/>
      <c r="Y30" s="320"/>
      <c r="Z30" s="320"/>
      <c r="AA30" s="320"/>
      <c r="AB30" s="320"/>
      <c r="AC30" s="320"/>
      <c r="AD30" s="320"/>
      <c r="AE30" s="320"/>
      <c r="AF30" s="320"/>
      <c r="AG30" s="320"/>
      <c r="AH30" s="320"/>
      <c r="AI30" s="320"/>
      <c r="AJ30" s="320"/>
      <c r="AK30" s="320"/>
      <c r="AL30" s="320"/>
      <c r="AM30" s="320"/>
      <c r="AN30" s="320"/>
      <c r="AO30" s="320"/>
      <c r="AP30" s="320"/>
      <c r="AQ30" s="320"/>
      <c r="AR30" s="320"/>
      <c r="AS30" s="320"/>
      <c r="AT30" s="320"/>
      <c r="AU30" s="320"/>
      <c r="AV30" s="320"/>
      <c r="AW30" s="320"/>
      <c r="AX30" s="320"/>
      <c r="AY30" s="320"/>
      <c r="AZ30" s="320"/>
      <c r="BA30" s="320"/>
      <c r="BB30" s="320"/>
      <c r="BC30" s="320"/>
      <c r="BD30" s="320"/>
      <c r="BE30" s="320"/>
      <c r="BF30" s="320"/>
      <c r="BG30" s="320"/>
      <c r="BH30" s="320"/>
      <c r="BI30" s="320"/>
      <c r="BJ30" s="320"/>
      <c r="BK30" s="320"/>
      <c r="BL30" s="320"/>
      <c r="BM30" s="320"/>
      <c r="BN30" s="320"/>
      <c r="BO30" s="320"/>
      <c r="BP30" s="320"/>
      <c r="BQ30" s="320"/>
      <c r="BR30" s="320"/>
      <c r="BS30" s="320"/>
      <c r="BT30" s="320"/>
      <c r="BU30" s="320"/>
      <c r="BV30" s="320"/>
      <c r="BW30" s="320"/>
    </row>
    <row r="31" spans="1:75" s="325" customFormat="1" ht="29.45" customHeight="1">
      <c r="A31" s="320"/>
      <c r="B31" s="5"/>
      <c r="C31" s="274"/>
      <c r="D31" s="270"/>
      <c r="E31" s="597"/>
      <c r="F31" s="598"/>
      <c r="G31" s="598"/>
      <c r="H31" s="599"/>
      <c r="I31" s="462"/>
      <c r="J31" s="462"/>
      <c r="K31" s="423"/>
      <c r="L31" s="472"/>
      <c r="M31" s="473"/>
      <c r="N31" s="474"/>
      <c r="O31" s="611"/>
      <c r="P31" s="612"/>
      <c r="Q31" s="464"/>
      <c r="R31" s="428" t="str">
        <f t="shared" ca="1" si="0"/>
        <v/>
      </c>
      <c r="S31" s="45"/>
      <c r="T31" s="505"/>
      <c r="U31" s="323"/>
      <c r="V31" s="5"/>
      <c r="W31" s="320"/>
      <c r="X31" s="320"/>
      <c r="Y31" s="320"/>
      <c r="Z31" s="320"/>
      <c r="AA31" s="320"/>
      <c r="AB31" s="320"/>
      <c r="AC31" s="320"/>
      <c r="AD31" s="320"/>
      <c r="AE31" s="320"/>
      <c r="AF31" s="320"/>
      <c r="AG31" s="320"/>
      <c r="AH31" s="320"/>
      <c r="AI31" s="320"/>
      <c r="AJ31" s="320"/>
      <c r="AK31" s="320"/>
      <c r="AL31" s="320"/>
      <c r="AM31" s="320"/>
      <c r="AN31" s="320"/>
      <c r="AO31" s="320"/>
      <c r="AP31" s="320"/>
      <c r="AQ31" s="320"/>
      <c r="AR31" s="320"/>
      <c r="AS31" s="320"/>
      <c r="AT31" s="320"/>
      <c r="AU31" s="320"/>
      <c r="AV31" s="320"/>
      <c r="AW31" s="320"/>
      <c r="AX31" s="320"/>
      <c r="AY31" s="320"/>
      <c r="AZ31" s="320"/>
      <c r="BA31" s="320"/>
      <c r="BB31" s="320"/>
      <c r="BC31" s="320"/>
      <c r="BD31" s="320"/>
      <c r="BE31" s="320"/>
      <c r="BF31" s="320"/>
      <c r="BG31" s="320"/>
      <c r="BH31" s="320"/>
      <c r="BI31" s="320"/>
      <c r="BJ31" s="320"/>
      <c r="BK31" s="320"/>
      <c r="BL31" s="320"/>
      <c r="BM31" s="320"/>
      <c r="BN31" s="320"/>
      <c r="BO31" s="320"/>
      <c r="BP31" s="320"/>
      <c r="BQ31" s="320"/>
      <c r="BR31" s="320"/>
      <c r="BS31" s="320"/>
      <c r="BT31" s="320"/>
      <c r="BU31" s="320"/>
      <c r="BV31" s="320"/>
      <c r="BW31" s="320"/>
    </row>
    <row r="32" spans="1:75" s="325" customFormat="1" ht="29.45" customHeight="1">
      <c r="A32" s="320"/>
      <c r="B32" s="5"/>
      <c r="C32" s="274"/>
      <c r="D32" s="270"/>
      <c r="E32" s="597"/>
      <c r="F32" s="598"/>
      <c r="G32" s="598"/>
      <c r="H32" s="599"/>
      <c r="I32" s="462"/>
      <c r="J32" s="462"/>
      <c r="K32" s="423"/>
      <c r="L32" s="472"/>
      <c r="M32" s="473"/>
      <c r="N32" s="474"/>
      <c r="O32" s="611"/>
      <c r="P32" s="612"/>
      <c r="Q32" s="464"/>
      <c r="R32" s="428" t="str">
        <f t="shared" ca="1" si="0"/>
        <v/>
      </c>
      <c r="S32" s="45"/>
      <c r="T32" s="505"/>
      <c r="U32" s="323"/>
      <c r="V32" s="5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0"/>
      <c r="AR32" s="320"/>
      <c r="AS32" s="320"/>
      <c r="AT32" s="320"/>
      <c r="AU32" s="320"/>
      <c r="AV32" s="320"/>
      <c r="AW32" s="320"/>
      <c r="AX32" s="320"/>
      <c r="AY32" s="320"/>
      <c r="AZ32" s="320"/>
      <c r="BA32" s="320"/>
      <c r="BB32" s="320"/>
      <c r="BC32" s="320"/>
      <c r="BD32" s="320"/>
      <c r="BE32" s="320"/>
      <c r="BF32" s="320"/>
      <c r="BG32" s="320"/>
      <c r="BH32" s="320"/>
      <c r="BI32" s="320"/>
      <c r="BJ32" s="320"/>
      <c r="BK32" s="320"/>
      <c r="BL32" s="320"/>
      <c r="BM32" s="320"/>
      <c r="BN32" s="320"/>
      <c r="BO32" s="320"/>
      <c r="BP32" s="320"/>
      <c r="BQ32" s="320"/>
      <c r="BR32" s="320"/>
      <c r="BS32" s="320"/>
      <c r="BT32" s="320"/>
      <c r="BU32" s="320"/>
      <c r="BV32" s="320"/>
      <c r="BW32" s="320"/>
    </row>
    <row r="33" spans="1:75" s="325" customFormat="1" ht="29.45" customHeight="1">
      <c r="A33" s="320"/>
      <c r="B33" s="5"/>
      <c r="C33" s="274"/>
      <c r="D33" s="270"/>
      <c r="E33" s="597"/>
      <c r="F33" s="598"/>
      <c r="G33" s="598"/>
      <c r="H33" s="599"/>
      <c r="I33" s="462"/>
      <c r="J33" s="462"/>
      <c r="K33" s="423"/>
      <c r="L33" s="472"/>
      <c r="M33" s="473"/>
      <c r="N33" s="474"/>
      <c r="O33" s="611"/>
      <c r="P33" s="612"/>
      <c r="Q33" s="464"/>
      <c r="R33" s="428" t="str">
        <f t="shared" ca="1" si="0"/>
        <v/>
      </c>
      <c r="S33" s="45"/>
      <c r="T33" s="505"/>
      <c r="U33" s="323"/>
      <c r="V33" s="5"/>
      <c r="W33" s="320"/>
      <c r="X33" s="320"/>
      <c r="Y33" s="320"/>
      <c r="Z33" s="320"/>
      <c r="AA33" s="320"/>
      <c r="AB33" s="320"/>
      <c r="AC33" s="320"/>
      <c r="AD33" s="320"/>
      <c r="AE33" s="320"/>
      <c r="AF33" s="320"/>
      <c r="AG33" s="320"/>
      <c r="AH33" s="320"/>
      <c r="AI33" s="320"/>
      <c r="AJ33" s="320"/>
      <c r="AK33" s="320"/>
      <c r="AL33" s="320"/>
      <c r="AM33" s="320"/>
      <c r="AN33" s="320"/>
      <c r="AO33" s="320"/>
      <c r="AP33" s="320"/>
      <c r="AQ33" s="320"/>
      <c r="AR33" s="320"/>
      <c r="AS33" s="320"/>
      <c r="AT33" s="320"/>
      <c r="AU33" s="320"/>
      <c r="AV33" s="320"/>
      <c r="AW33" s="320"/>
      <c r="AX33" s="320"/>
      <c r="AY33" s="320"/>
      <c r="AZ33" s="320"/>
      <c r="BA33" s="320"/>
      <c r="BB33" s="320"/>
      <c r="BC33" s="320"/>
      <c r="BD33" s="320"/>
      <c r="BE33" s="320"/>
      <c r="BF33" s="320"/>
      <c r="BG33" s="320"/>
      <c r="BH33" s="320"/>
      <c r="BI33" s="320"/>
      <c r="BJ33" s="320"/>
      <c r="BK33" s="320"/>
      <c r="BL33" s="320"/>
      <c r="BM33" s="320"/>
      <c r="BN33" s="320"/>
      <c r="BO33" s="320"/>
      <c r="BP33" s="320"/>
      <c r="BQ33" s="320"/>
      <c r="BR33" s="320"/>
      <c r="BS33" s="320"/>
      <c r="BT33" s="320"/>
      <c r="BU33" s="320"/>
      <c r="BV33" s="320"/>
      <c r="BW33" s="320"/>
    </row>
    <row r="34" spans="1:75" s="325" customFormat="1" ht="29.45" customHeight="1">
      <c r="A34" s="320"/>
      <c r="B34" s="5"/>
      <c r="C34" s="274"/>
      <c r="D34" s="270"/>
      <c r="E34" s="597"/>
      <c r="F34" s="598"/>
      <c r="G34" s="598"/>
      <c r="H34" s="599"/>
      <c r="I34" s="462"/>
      <c r="J34" s="462"/>
      <c r="K34" s="423"/>
      <c r="L34" s="472"/>
      <c r="M34" s="473"/>
      <c r="N34" s="474"/>
      <c r="O34" s="611"/>
      <c r="P34" s="612"/>
      <c r="Q34" s="464"/>
      <c r="R34" s="428" t="str">
        <f t="shared" ca="1" si="0"/>
        <v/>
      </c>
      <c r="S34" s="45"/>
      <c r="T34" s="505"/>
      <c r="U34" s="323"/>
      <c r="V34" s="5"/>
      <c r="W34" s="320"/>
      <c r="X34" s="320"/>
      <c r="Y34" s="320"/>
      <c r="Z34" s="320"/>
      <c r="AA34" s="320"/>
      <c r="AB34" s="320"/>
      <c r="AC34" s="320"/>
      <c r="AD34" s="320"/>
      <c r="AE34" s="320"/>
      <c r="AF34" s="320"/>
      <c r="AG34" s="320"/>
      <c r="AH34" s="320"/>
      <c r="AI34" s="320"/>
      <c r="AJ34" s="320"/>
      <c r="AK34" s="320"/>
      <c r="AL34" s="320"/>
      <c r="AM34" s="320"/>
      <c r="AN34" s="320"/>
      <c r="AO34" s="320"/>
      <c r="AP34" s="320"/>
      <c r="AQ34" s="320"/>
      <c r="AR34" s="320"/>
      <c r="AS34" s="320"/>
      <c r="AT34" s="320"/>
      <c r="AU34" s="320"/>
      <c r="AV34" s="320"/>
      <c r="AW34" s="320"/>
      <c r="AX34" s="320"/>
      <c r="AY34" s="320"/>
      <c r="AZ34" s="320"/>
      <c r="BA34" s="320"/>
      <c r="BB34" s="320"/>
      <c r="BC34" s="320"/>
      <c r="BD34" s="320"/>
      <c r="BE34" s="320"/>
      <c r="BF34" s="320"/>
      <c r="BG34" s="320"/>
      <c r="BH34" s="320"/>
      <c r="BI34" s="320"/>
      <c r="BJ34" s="320"/>
      <c r="BK34" s="320"/>
      <c r="BL34" s="320"/>
      <c r="BM34" s="320"/>
      <c r="BN34" s="320"/>
      <c r="BO34" s="320"/>
      <c r="BP34" s="320"/>
      <c r="BQ34" s="320"/>
      <c r="BR34" s="320"/>
      <c r="BS34" s="320"/>
      <c r="BT34" s="320"/>
      <c r="BU34" s="320"/>
      <c r="BV34" s="320"/>
      <c r="BW34" s="320"/>
    </row>
    <row r="35" spans="1:75" s="325" customFormat="1" ht="29.45" customHeight="1">
      <c r="A35" s="320"/>
      <c r="B35" s="5"/>
      <c r="C35" s="274"/>
      <c r="D35" s="270"/>
      <c r="E35" s="597"/>
      <c r="F35" s="598"/>
      <c r="G35" s="598"/>
      <c r="H35" s="599"/>
      <c r="I35" s="462"/>
      <c r="J35" s="462"/>
      <c r="K35" s="425"/>
      <c r="L35" s="472"/>
      <c r="M35" s="473"/>
      <c r="N35" s="474"/>
      <c r="O35" s="611"/>
      <c r="P35" s="612"/>
      <c r="Q35" s="464"/>
      <c r="R35" s="428" t="str">
        <f t="shared" ca="1" si="0"/>
        <v/>
      </c>
      <c r="S35" s="45"/>
      <c r="T35" s="505"/>
      <c r="U35" s="323"/>
      <c r="V35" s="5"/>
      <c r="W35" s="320"/>
      <c r="X35" s="320"/>
      <c r="Y35" s="320"/>
      <c r="Z35" s="320"/>
      <c r="AA35" s="320"/>
      <c r="AB35" s="320"/>
      <c r="AC35" s="320"/>
      <c r="AD35" s="320"/>
      <c r="AE35" s="320"/>
      <c r="AF35" s="320"/>
      <c r="AG35" s="320"/>
      <c r="AH35" s="320"/>
      <c r="AI35" s="320"/>
      <c r="AJ35" s="320"/>
      <c r="AK35" s="320"/>
      <c r="AL35" s="320"/>
      <c r="AM35" s="320"/>
      <c r="AN35" s="320"/>
      <c r="AO35" s="320"/>
      <c r="AP35" s="320"/>
      <c r="AQ35" s="320"/>
      <c r="AR35" s="320"/>
      <c r="AS35" s="320"/>
      <c r="AT35" s="320"/>
      <c r="AU35" s="320"/>
      <c r="AV35" s="320"/>
      <c r="AW35" s="320"/>
      <c r="AX35" s="320"/>
      <c r="AY35" s="320"/>
      <c r="AZ35" s="320"/>
      <c r="BA35" s="320"/>
      <c r="BB35" s="320"/>
      <c r="BC35" s="320"/>
      <c r="BD35" s="320"/>
      <c r="BE35" s="320"/>
      <c r="BF35" s="320"/>
      <c r="BG35" s="320"/>
      <c r="BH35" s="320"/>
      <c r="BI35" s="320"/>
      <c r="BJ35" s="320"/>
      <c r="BK35" s="320"/>
      <c r="BL35" s="320"/>
      <c r="BM35" s="320"/>
      <c r="BN35" s="320"/>
      <c r="BO35" s="320"/>
      <c r="BP35" s="320"/>
      <c r="BQ35" s="320"/>
      <c r="BR35" s="320"/>
      <c r="BS35" s="320"/>
      <c r="BT35" s="320"/>
      <c r="BU35" s="320"/>
      <c r="BV35" s="320"/>
      <c r="BW35" s="320"/>
    </row>
    <row r="36" spans="1:75" s="325" customFormat="1" ht="29.45" customHeight="1">
      <c r="A36" s="320"/>
      <c r="B36" s="5"/>
      <c r="C36" s="274"/>
      <c r="D36" s="270"/>
      <c r="E36" s="597"/>
      <c r="F36" s="598"/>
      <c r="G36" s="598"/>
      <c r="H36" s="599"/>
      <c r="I36" s="462"/>
      <c r="J36" s="462"/>
      <c r="K36" s="423"/>
      <c r="L36" s="472"/>
      <c r="M36" s="473"/>
      <c r="N36" s="474"/>
      <c r="O36" s="667"/>
      <c r="P36" s="668"/>
      <c r="Q36" s="464"/>
      <c r="R36" s="428" t="str">
        <f t="shared" ca="1" si="0"/>
        <v/>
      </c>
      <c r="S36" s="45"/>
      <c r="T36" s="505"/>
      <c r="U36" s="323"/>
      <c r="V36" s="5"/>
      <c r="W36" s="320"/>
      <c r="X36" s="320"/>
      <c r="Y36" s="320"/>
      <c r="Z36" s="320"/>
      <c r="AA36" s="320"/>
      <c r="AB36" s="320"/>
      <c r="AC36" s="320"/>
      <c r="AD36" s="320"/>
      <c r="AE36" s="320"/>
      <c r="AF36" s="320"/>
      <c r="AG36" s="320"/>
      <c r="AH36" s="320"/>
      <c r="AI36" s="320"/>
      <c r="AJ36" s="320"/>
      <c r="AK36" s="320"/>
      <c r="AL36" s="320"/>
      <c r="AM36" s="320"/>
      <c r="AN36" s="320"/>
      <c r="AO36" s="320"/>
      <c r="AP36" s="320"/>
      <c r="AQ36" s="320"/>
      <c r="AR36" s="320"/>
      <c r="AS36" s="320"/>
      <c r="AT36" s="320"/>
      <c r="AU36" s="320"/>
      <c r="AV36" s="320"/>
      <c r="AW36" s="320"/>
      <c r="AX36" s="320"/>
      <c r="AY36" s="320"/>
      <c r="AZ36" s="320"/>
      <c r="BA36" s="320"/>
      <c r="BB36" s="320"/>
      <c r="BC36" s="320"/>
      <c r="BD36" s="320"/>
      <c r="BE36" s="320"/>
      <c r="BF36" s="320"/>
      <c r="BG36" s="320"/>
      <c r="BH36" s="320"/>
      <c r="BI36" s="320"/>
      <c r="BJ36" s="320"/>
      <c r="BK36" s="320"/>
      <c r="BL36" s="320"/>
      <c r="BM36" s="320"/>
      <c r="BN36" s="320"/>
      <c r="BO36" s="320"/>
      <c r="BP36" s="320"/>
      <c r="BQ36" s="320"/>
      <c r="BR36" s="320"/>
      <c r="BS36" s="320"/>
      <c r="BT36" s="320"/>
      <c r="BU36" s="320"/>
      <c r="BV36" s="320"/>
      <c r="BW36" s="320"/>
    </row>
    <row r="37" spans="1:75" s="325" customFormat="1" ht="33" customHeight="1">
      <c r="A37" s="320"/>
      <c r="B37" s="5"/>
      <c r="C37" s="274"/>
      <c r="D37" s="270"/>
      <c r="E37" s="597"/>
      <c r="F37" s="598"/>
      <c r="G37" s="598"/>
      <c r="H37" s="599"/>
      <c r="I37" s="462"/>
      <c r="J37" s="462"/>
      <c r="K37" s="423"/>
      <c r="L37" s="472"/>
      <c r="M37" s="473"/>
      <c r="N37" s="474"/>
      <c r="O37" s="667"/>
      <c r="P37" s="668"/>
      <c r="Q37" s="464"/>
      <c r="R37" s="428" t="str">
        <f t="shared" ca="1" si="0"/>
        <v/>
      </c>
      <c r="S37" s="45"/>
      <c r="T37" s="505"/>
      <c r="U37" s="323"/>
      <c r="V37" s="5"/>
      <c r="W37" s="320"/>
      <c r="X37" s="320"/>
      <c r="Y37" s="320"/>
      <c r="Z37" s="320"/>
      <c r="AA37" s="320"/>
      <c r="AB37" s="320"/>
      <c r="AC37" s="320"/>
      <c r="AD37" s="320"/>
      <c r="AE37" s="320"/>
      <c r="AF37" s="320"/>
      <c r="AG37" s="320"/>
      <c r="AH37" s="320"/>
      <c r="AI37" s="320"/>
      <c r="AJ37" s="320"/>
      <c r="AK37" s="320"/>
      <c r="AL37" s="320"/>
      <c r="AM37" s="320"/>
      <c r="AN37" s="320"/>
      <c r="AO37" s="320"/>
      <c r="AP37" s="320"/>
      <c r="AQ37" s="320"/>
      <c r="AR37" s="320"/>
      <c r="AS37" s="320"/>
      <c r="AT37" s="320"/>
      <c r="AU37" s="320"/>
      <c r="AV37" s="320"/>
      <c r="AW37" s="320"/>
      <c r="AX37" s="320"/>
      <c r="AY37" s="320"/>
      <c r="AZ37" s="320"/>
      <c r="BA37" s="320"/>
      <c r="BB37" s="320"/>
      <c r="BC37" s="320"/>
      <c r="BD37" s="320"/>
      <c r="BE37" s="320"/>
      <c r="BF37" s="320"/>
      <c r="BG37" s="320"/>
      <c r="BH37" s="320"/>
      <c r="BI37" s="320"/>
      <c r="BJ37" s="320"/>
      <c r="BK37" s="320"/>
      <c r="BL37" s="320"/>
      <c r="BM37" s="320"/>
      <c r="BN37" s="320"/>
      <c r="BO37" s="320"/>
      <c r="BP37" s="320"/>
      <c r="BQ37" s="320"/>
      <c r="BR37" s="320"/>
      <c r="BS37" s="320"/>
      <c r="BT37" s="320"/>
      <c r="BU37" s="320"/>
      <c r="BV37" s="320"/>
      <c r="BW37" s="320"/>
    </row>
    <row r="38" spans="1:75" s="325" customFormat="1" ht="29.45" customHeight="1">
      <c r="A38" s="320"/>
      <c r="B38" s="5"/>
      <c r="C38" s="274"/>
      <c r="D38" s="270"/>
      <c r="E38" s="478"/>
      <c r="F38" s="479"/>
      <c r="G38" s="479"/>
      <c r="H38" s="480"/>
      <c r="I38" s="462"/>
      <c r="J38" s="462"/>
      <c r="K38" s="425"/>
      <c r="L38" s="472"/>
      <c r="M38" s="473"/>
      <c r="N38" s="474"/>
      <c r="O38" s="667"/>
      <c r="P38" s="668"/>
      <c r="Q38" s="464"/>
      <c r="R38" s="428" t="str">
        <f t="shared" ca="1" si="0"/>
        <v/>
      </c>
      <c r="S38" s="45"/>
      <c r="T38" s="505"/>
      <c r="U38" s="323"/>
      <c r="V38" s="5"/>
      <c r="W38" s="320"/>
      <c r="X38" s="320"/>
      <c r="Y38" s="320"/>
      <c r="Z38" s="320"/>
      <c r="AA38" s="320"/>
      <c r="AB38" s="320"/>
      <c r="AC38" s="320"/>
      <c r="AD38" s="320"/>
      <c r="AE38" s="320"/>
      <c r="AF38" s="320"/>
      <c r="AG38" s="320"/>
      <c r="AH38" s="320"/>
      <c r="AI38" s="320"/>
      <c r="AJ38" s="320"/>
      <c r="AK38" s="320"/>
      <c r="AL38" s="320"/>
      <c r="AM38" s="320"/>
      <c r="AN38" s="320"/>
      <c r="AO38" s="320"/>
      <c r="AP38" s="320"/>
      <c r="AQ38" s="320"/>
      <c r="AR38" s="320"/>
      <c r="AS38" s="320"/>
      <c r="AT38" s="320"/>
      <c r="AU38" s="320"/>
      <c r="AV38" s="320"/>
      <c r="AW38" s="320"/>
      <c r="AX38" s="320"/>
      <c r="AY38" s="320"/>
      <c r="AZ38" s="320"/>
      <c r="BA38" s="320"/>
      <c r="BB38" s="320"/>
      <c r="BC38" s="320"/>
      <c r="BD38" s="320"/>
      <c r="BE38" s="320"/>
      <c r="BF38" s="320"/>
      <c r="BG38" s="320"/>
      <c r="BH38" s="320"/>
      <c r="BI38" s="320"/>
      <c r="BJ38" s="320"/>
      <c r="BK38" s="320"/>
      <c r="BL38" s="320"/>
      <c r="BM38" s="320"/>
      <c r="BN38" s="320"/>
      <c r="BO38" s="320"/>
      <c r="BP38" s="320"/>
      <c r="BQ38" s="320"/>
      <c r="BR38" s="320"/>
      <c r="BS38" s="320"/>
      <c r="BT38" s="320"/>
      <c r="BU38" s="320"/>
      <c r="BV38" s="320"/>
      <c r="BW38" s="320"/>
    </row>
    <row r="39" spans="1:75" s="325" customFormat="1" ht="30.6" customHeight="1">
      <c r="A39" s="320"/>
      <c r="B39" s="5"/>
      <c r="C39" s="274"/>
      <c r="D39" s="270"/>
      <c r="E39" s="478"/>
      <c r="F39" s="479"/>
      <c r="G39" s="479"/>
      <c r="H39" s="480"/>
      <c r="I39" s="462"/>
      <c r="J39" s="462"/>
      <c r="K39" s="423"/>
      <c r="L39" s="472"/>
      <c r="M39" s="473"/>
      <c r="N39" s="474"/>
      <c r="O39" s="667"/>
      <c r="P39" s="668"/>
      <c r="Q39" s="464"/>
      <c r="R39" s="428" t="str">
        <f t="shared" ca="1" si="0"/>
        <v/>
      </c>
      <c r="S39" s="45"/>
      <c r="T39" s="505"/>
      <c r="U39" s="323"/>
      <c r="V39" s="5"/>
      <c r="W39" s="320"/>
      <c r="X39" s="320"/>
      <c r="Y39" s="320"/>
      <c r="Z39" s="320"/>
      <c r="AA39" s="320"/>
      <c r="AB39" s="320"/>
      <c r="AC39" s="320"/>
      <c r="AD39" s="320"/>
      <c r="AE39" s="320"/>
      <c r="AF39" s="320"/>
      <c r="AG39" s="320"/>
      <c r="AH39" s="320"/>
      <c r="AI39" s="320"/>
      <c r="AJ39" s="320"/>
      <c r="AK39" s="320"/>
      <c r="AL39" s="320"/>
      <c r="AM39" s="320"/>
      <c r="AN39" s="320"/>
      <c r="AO39" s="320"/>
      <c r="AP39" s="320"/>
      <c r="AQ39" s="320"/>
      <c r="AR39" s="320"/>
      <c r="AS39" s="320"/>
      <c r="AT39" s="320"/>
      <c r="AU39" s="320"/>
      <c r="AV39" s="320"/>
      <c r="AW39" s="320"/>
      <c r="AX39" s="320"/>
      <c r="AY39" s="320"/>
      <c r="AZ39" s="320"/>
      <c r="BA39" s="320"/>
      <c r="BB39" s="320"/>
      <c r="BC39" s="320"/>
      <c r="BD39" s="320"/>
      <c r="BE39" s="320"/>
      <c r="BF39" s="320"/>
      <c r="BG39" s="320"/>
      <c r="BH39" s="320"/>
      <c r="BI39" s="320"/>
      <c r="BJ39" s="320"/>
      <c r="BK39" s="320"/>
      <c r="BL39" s="320"/>
      <c r="BM39" s="320"/>
      <c r="BN39" s="320"/>
      <c r="BO39" s="320"/>
      <c r="BP39" s="320"/>
      <c r="BQ39" s="320"/>
      <c r="BR39" s="320"/>
      <c r="BS39" s="320"/>
      <c r="BT39" s="320"/>
      <c r="BU39" s="320"/>
      <c r="BV39" s="320"/>
      <c r="BW39" s="320"/>
    </row>
    <row r="40" spans="1:75" s="325" customFormat="1" ht="29.45" customHeight="1">
      <c r="A40" s="320"/>
      <c r="B40" s="5"/>
      <c r="C40" s="274"/>
      <c r="D40" s="270"/>
      <c r="E40" s="478"/>
      <c r="F40" s="479"/>
      <c r="G40" s="479"/>
      <c r="H40" s="480"/>
      <c r="I40" s="462"/>
      <c r="J40" s="462"/>
      <c r="K40" s="423"/>
      <c r="L40" s="472"/>
      <c r="M40" s="473"/>
      <c r="N40" s="474"/>
      <c r="O40" s="667"/>
      <c r="P40" s="668"/>
      <c r="Q40" s="464"/>
      <c r="R40" s="428" t="str">
        <f t="shared" ca="1" si="0"/>
        <v/>
      </c>
      <c r="S40" s="45"/>
      <c r="T40" s="505"/>
      <c r="U40" s="323"/>
      <c r="V40" s="5"/>
      <c r="W40" s="320"/>
      <c r="X40" s="320"/>
      <c r="Y40" s="320"/>
      <c r="Z40" s="320"/>
      <c r="AA40" s="320"/>
      <c r="AB40" s="320"/>
      <c r="AC40" s="320"/>
      <c r="AD40" s="320"/>
      <c r="AE40" s="320"/>
      <c r="AF40" s="320"/>
      <c r="AG40" s="320"/>
      <c r="AH40" s="320"/>
      <c r="AI40" s="320"/>
      <c r="AJ40" s="320"/>
      <c r="AK40" s="320"/>
      <c r="AL40" s="320"/>
      <c r="AM40" s="320"/>
      <c r="AN40" s="320"/>
      <c r="AO40" s="320"/>
      <c r="AP40" s="320"/>
      <c r="AQ40" s="320"/>
      <c r="AR40" s="320"/>
      <c r="AS40" s="320"/>
      <c r="AT40" s="320"/>
      <c r="AU40" s="320"/>
      <c r="AV40" s="320"/>
      <c r="AW40" s="320"/>
      <c r="AX40" s="320"/>
      <c r="AY40" s="320"/>
      <c r="AZ40" s="320"/>
      <c r="BA40" s="320"/>
      <c r="BB40" s="320"/>
      <c r="BC40" s="320"/>
      <c r="BD40" s="320"/>
      <c r="BE40" s="320"/>
      <c r="BF40" s="320"/>
      <c r="BG40" s="320"/>
      <c r="BH40" s="320"/>
      <c r="BI40" s="320"/>
      <c r="BJ40" s="320"/>
      <c r="BK40" s="320"/>
      <c r="BL40" s="320"/>
      <c r="BM40" s="320"/>
      <c r="BN40" s="320"/>
      <c r="BO40" s="320"/>
      <c r="BP40" s="320"/>
      <c r="BQ40" s="320"/>
      <c r="BR40" s="320"/>
      <c r="BS40" s="320"/>
      <c r="BT40" s="320"/>
      <c r="BU40" s="320"/>
      <c r="BV40" s="320"/>
      <c r="BW40" s="320"/>
    </row>
    <row r="41" spans="1:75" s="325" customFormat="1" ht="29.45" customHeight="1">
      <c r="A41" s="320"/>
      <c r="B41" s="5"/>
      <c r="C41" s="274"/>
      <c r="D41" s="270"/>
      <c r="E41" s="478"/>
      <c r="F41" s="479"/>
      <c r="G41" s="479"/>
      <c r="H41" s="480"/>
      <c r="I41" s="462"/>
      <c r="J41" s="462"/>
      <c r="K41" s="425"/>
      <c r="L41" s="472"/>
      <c r="M41" s="473"/>
      <c r="N41" s="474"/>
      <c r="O41" s="667"/>
      <c r="P41" s="668"/>
      <c r="Q41" s="464"/>
      <c r="R41" s="428" t="str">
        <f t="shared" ref="R41:R45" ca="1" si="1">IF(J41="","",IF(AND(J41&lt;=TODAY(),K41&lt;100%),1,IF(AND(K41=100%,L41&gt;"",Q41&lt;&gt;"Yes"),2,IF(OR(AND(J41&gt;=Q41,Q41&lt;&gt;"",J41&gt;TODAY()),J41&gt;TODAY()),3,IF(AND(J41&lt;&gt;"",Q41&lt;&gt;"",K41=100%),3,3)))))</f>
        <v/>
      </c>
      <c r="S41" s="45"/>
      <c r="T41" s="505"/>
      <c r="U41" s="323"/>
      <c r="V41" s="5"/>
      <c r="W41" s="320"/>
      <c r="X41" s="320"/>
      <c r="Y41" s="320"/>
      <c r="Z41" s="320"/>
      <c r="AA41" s="320"/>
      <c r="AB41" s="320"/>
      <c r="AC41" s="320"/>
      <c r="AD41" s="320"/>
      <c r="AE41" s="320"/>
      <c r="AF41" s="320"/>
      <c r="AG41" s="320"/>
      <c r="AH41" s="320"/>
      <c r="AI41" s="320"/>
      <c r="AJ41" s="320"/>
      <c r="AK41" s="320"/>
      <c r="AL41" s="320"/>
      <c r="AM41" s="320"/>
      <c r="AN41" s="320"/>
      <c r="AO41" s="320"/>
      <c r="AP41" s="320"/>
      <c r="AQ41" s="320"/>
      <c r="AR41" s="320"/>
      <c r="AS41" s="320"/>
      <c r="AT41" s="320"/>
      <c r="AU41" s="320"/>
      <c r="AV41" s="320"/>
      <c r="AW41" s="320"/>
      <c r="AX41" s="320"/>
      <c r="AY41" s="320"/>
      <c r="AZ41" s="320"/>
      <c r="BA41" s="320"/>
      <c r="BB41" s="320"/>
      <c r="BC41" s="320"/>
      <c r="BD41" s="320"/>
      <c r="BE41" s="320"/>
      <c r="BF41" s="320"/>
      <c r="BG41" s="320"/>
      <c r="BH41" s="320"/>
      <c r="BI41" s="320"/>
      <c r="BJ41" s="320"/>
      <c r="BK41" s="320"/>
      <c r="BL41" s="320"/>
      <c r="BM41" s="320"/>
      <c r="BN41" s="320"/>
      <c r="BO41" s="320"/>
      <c r="BP41" s="320"/>
      <c r="BQ41" s="320"/>
      <c r="BR41" s="320"/>
      <c r="BS41" s="320"/>
      <c r="BT41" s="320"/>
      <c r="BU41" s="320"/>
      <c r="BV41" s="320"/>
      <c r="BW41" s="320"/>
    </row>
    <row r="42" spans="1:75" s="325" customFormat="1" ht="29.45" customHeight="1">
      <c r="A42" s="320"/>
      <c r="B42" s="5"/>
      <c r="C42" s="274"/>
      <c r="D42" s="270"/>
      <c r="E42" s="478"/>
      <c r="F42" s="479"/>
      <c r="G42" s="479"/>
      <c r="H42" s="480"/>
      <c r="I42" s="462"/>
      <c r="J42" s="462"/>
      <c r="K42" s="423"/>
      <c r="L42" s="472"/>
      <c r="M42" s="473"/>
      <c r="N42" s="474"/>
      <c r="O42" s="667"/>
      <c r="P42" s="668"/>
      <c r="Q42" s="464"/>
      <c r="R42" s="428" t="str">
        <f t="shared" ca="1" si="1"/>
        <v/>
      </c>
      <c r="S42" s="45"/>
      <c r="T42" s="505"/>
      <c r="U42" s="323"/>
      <c r="V42" s="5"/>
      <c r="W42" s="320"/>
      <c r="X42" s="320"/>
      <c r="Y42" s="320"/>
      <c r="Z42" s="320"/>
      <c r="AA42" s="320"/>
      <c r="AB42" s="320"/>
      <c r="AC42" s="320"/>
      <c r="AD42" s="320"/>
      <c r="AE42" s="320"/>
      <c r="AF42" s="320"/>
      <c r="AG42" s="320"/>
      <c r="AH42" s="320"/>
      <c r="AI42" s="320"/>
      <c r="AJ42" s="320"/>
      <c r="AK42" s="320"/>
      <c r="AL42" s="320"/>
      <c r="AM42" s="320"/>
      <c r="AN42" s="320"/>
      <c r="AO42" s="320"/>
      <c r="AP42" s="320"/>
      <c r="AQ42" s="320"/>
      <c r="AR42" s="320"/>
      <c r="AS42" s="320"/>
      <c r="AT42" s="320"/>
      <c r="AU42" s="320"/>
      <c r="AV42" s="320"/>
      <c r="AW42" s="320"/>
      <c r="AX42" s="320"/>
      <c r="AY42" s="320"/>
      <c r="AZ42" s="320"/>
      <c r="BA42" s="320"/>
      <c r="BB42" s="320"/>
      <c r="BC42" s="320"/>
      <c r="BD42" s="320"/>
      <c r="BE42" s="320"/>
      <c r="BF42" s="320"/>
      <c r="BG42" s="320"/>
      <c r="BH42" s="320"/>
      <c r="BI42" s="320"/>
      <c r="BJ42" s="320"/>
      <c r="BK42" s="320"/>
      <c r="BL42" s="320"/>
      <c r="BM42" s="320"/>
      <c r="BN42" s="320"/>
      <c r="BO42" s="320"/>
      <c r="BP42" s="320"/>
      <c r="BQ42" s="320"/>
      <c r="BR42" s="320"/>
      <c r="BS42" s="320"/>
      <c r="BT42" s="320"/>
      <c r="BU42" s="320"/>
      <c r="BV42" s="320"/>
      <c r="BW42" s="320"/>
    </row>
    <row r="43" spans="1:75" s="325" customFormat="1" ht="29.45" customHeight="1">
      <c r="A43" s="320"/>
      <c r="B43" s="5"/>
      <c r="C43" s="274"/>
      <c r="D43" s="270"/>
      <c r="E43" s="478"/>
      <c r="F43" s="479"/>
      <c r="G43" s="479"/>
      <c r="H43" s="480"/>
      <c r="I43" s="462"/>
      <c r="J43" s="462"/>
      <c r="K43" s="423"/>
      <c r="L43" s="472"/>
      <c r="M43" s="473"/>
      <c r="N43" s="474"/>
      <c r="O43" s="667"/>
      <c r="P43" s="668"/>
      <c r="Q43" s="464"/>
      <c r="R43" s="428" t="str">
        <f t="shared" ca="1" si="1"/>
        <v/>
      </c>
      <c r="S43" s="45"/>
      <c r="T43" s="505"/>
      <c r="U43" s="323"/>
      <c r="V43" s="5"/>
      <c r="W43" s="320"/>
      <c r="X43" s="320"/>
      <c r="Y43" s="320"/>
      <c r="Z43" s="320"/>
      <c r="AA43" s="320"/>
      <c r="AB43" s="320"/>
      <c r="AC43" s="320"/>
      <c r="AD43" s="320"/>
      <c r="AE43" s="320"/>
      <c r="AF43" s="320"/>
      <c r="AG43" s="320"/>
      <c r="AH43" s="320"/>
      <c r="AI43" s="320"/>
      <c r="AJ43" s="320"/>
      <c r="AK43" s="320"/>
      <c r="AL43" s="320"/>
      <c r="AM43" s="320"/>
      <c r="AN43" s="320"/>
      <c r="AO43" s="320"/>
      <c r="AP43" s="320"/>
      <c r="AQ43" s="320"/>
      <c r="AR43" s="320"/>
      <c r="AS43" s="320"/>
      <c r="AT43" s="320"/>
      <c r="AU43" s="320"/>
      <c r="AV43" s="320"/>
      <c r="AW43" s="320"/>
      <c r="AX43" s="320"/>
      <c r="AY43" s="320"/>
      <c r="AZ43" s="320"/>
      <c r="BA43" s="320"/>
      <c r="BB43" s="320"/>
      <c r="BC43" s="320"/>
      <c r="BD43" s="320"/>
      <c r="BE43" s="320"/>
      <c r="BF43" s="320"/>
      <c r="BG43" s="320"/>
      <c r="BH43" s="320"/>
      <c r="BI43" s="320"/>
      <c r="BJ43" s="320"/>
      <c r="BK43" s="320"/>
      <c r="BL43" s="320"/>
      <c r="BM43" s="320"/>
      <c r="BN43" s="320"/>
      <c r="BO43" s="320"/>
      <c r="BP43" s="320"/>
      <c r="BQ43" s="320"/>
      <c r="BR43" s="320"/>
      <c r="BS43" s="320"/>
      <c r="BT43" s="320"/>
      <c r="BU43" s="320"/>
      <c r="BV43" s="320"/>
      <c r="BW43" s="320"/>
    </row>
    <row r="44" spans="1:75" s="325" customFormat="1" ht="29.45" customHeight="1">
      <c r="A44" s="320"/>
      <c r="B44" s="5"/>
      <c r="C44" s="274"/>
      <c r="D44" s="270"/>
      <c r="E44" s="478"/>
      <c r="F44" s="479"/>
      <c r="G44" s="479"/>
      <c r="H44" s="480"/>
      <c r="I44" s="462"/>
      <c r="J44" s="462"/>
      <c r="K44" s="425"/>
      <c r="L44" s="472"/>
      <c r="M44" s="473"/>
      <c r="N44" s="474"/>
      <c r="O44" s="667"/>
      <c r="P44" s="668"/>
      <c r="Q44" s="464"/>
      <c r="R44" s="428" t="str">
        <f t="shared" ca="1" si="1"/>
        <v/>
      </c>
      <c r="S44" s="45"/>
      <c r="T44" s="505"/>
      <c r="U44" s="323"/>
      <c r="V44" s="5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0"/>
      <c r="AT44" s="320"/>
      <c r="AU44" s="320"/>
      <c r="AV44" s="320"/>
      <c r="AW44" s="320"/>
      <c r="AX44" s="320"/>
      <c r="AY44" s="320"/>
      <c r="AZ44" s="320"/>
      <c r="BA44" s="320"/>
      <c r="BB44" s="320"/>
      <c r="BC44" s="320"/>
      <c r="BD44" s="320"/>
      <c r="BE44" s="320"/>
      <c r="BF44" s="320"/>
      <c r="BG44" s="320"/>
      <c r="BH44" s="320"/>
      <c r="BI44" s="320"/>
      <c r="BJ44" s="320"/>
      <c r="BK44" s="320"/>
      <c r="BL44" s="320"/>
      <c r="BM44" s="320"/>
      <c r="BN44" s="320"/>
      <c r="BO44" s="320"/>
      <c r="BP44" s="320"/>
      <c r="BQ44" s="320"/>
      <c r="BR44" s="320"/>
      <c r="BS44" s="320"/>
      <c r="BT44" s="320"/>
      <c r="BU44" s="320"/>
      <c r="BV44" s="320"/>
      <c r="BW44" s="320"/>
    </row>
    <row r="45" spans="1:75" s="325" customFormat="1" ht="29.45" customHeight="1">
      <c r="A45" s="320"/>
      <c r="B45" s="5"/>
      <c r="C45" s="274"/>
      <c r="D45" s="270"/>
      <c r="E45" s="478"/>
      <c r="F45" s="479"/>
      <c r="G45" s="479"/>
      <c r="H45" s="480"/>
      <c r="I45" s="462"/>
      <c r="J45" s="462"/>
      <c r="K45" s="423"/>
      <c r="L45" s="472"/>
      <c r="M45" s="473"/>
      <c r="N45" s="474"/>
      <c r="O45" s="667"/>
      <c r="P45" s="668"/>
      <c r="Q45" s="464"/>
      <c r="R45" s="428" t="str">
        <f t="shared" ca="1" si="1"/>
        <v/>
      </c>
      <c r="S45" s="45"/>
      <c r="T45" s="505"/>
      <c r="U45" s="323"/>
      <c r="V45" s="5"/>
      <c r="W45" s="320"/>
      <c r="X45" s="320"/>
      <c r="Y45" s="320"/>
      <c r="Z45" s="320"/>
      <c r="AA45" s="320"/>
      <c r="AB45" s="320"/>
      <c r="AC45" s="320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20"/>
      <c r="AR45" s="320"/>
      <c r="AS45" s="320"/>
      <c r="AT45" s="320"/>
      <c r="AU45" s="320"/>
      <c r="AV45" s="320"/>
      <c r="AW45" s="320"/>
      <c r="AX45" s="320"/>
      <c r="AY45" s="320"/>
      <c r="AZ45" s="320"/>
      <c r="BA45" s="320"/>
      <c r="BB45" s="320"/>
      <c r="BC45" s="320"/>
      <c r="BD45" s="320"/>
      <c r="BE45" s="320"/>
      <c r="BF45" s="320"/>
      <c r="BG45" s="320"/>
      <c r="BH45" s="320"/>
      <c r="BI45" s="320"/>
      <c r="BJ45" s="320"/>
      <c r="BK45" s="320"/>
      <c r="BL45" s="320"/>
      <c r="BM45" s="320"/>
      <c r="BN45" s="320"/>
      <c r="BO45" s="320"/>
      <c r="BP45" s="320"/>
      <c r="BQ45" s="320"/>
      <c r="BR45" s="320"/>
      <c r="BS45" s="320"/>
      <c r="BT45" s="320"/>
      <c r="BU45" s="320"/>
      <c r="BV45" s="320"/>
      <c r="BW45" s="320"/>
    </row>
    <row r="46" spans="1:75" s="325" customFormat="1" ht="29.45" customHeight="1">
      <c r="A46" s="320"/>
      <c r="B46" s="5"/>
      <c r="C46" s="274"/>
      <c r="D46" s="270"/>
      <c r="E46" s="478"/>
      <c r="F46" s="479"/>
      <c r="G46" s="479"/>
      <c r="H46" s="480"/>
      <c r="I46" s="462"/>
      <c r="J46" s="462"/>
      <c r="K46" s="423"/>
      <c r="L46" s="472"/>
      <c r="M46" s="473"/>
      <c r="N46" s="474"/>
      <c r="O46" s="667"/>
      <c r="P46" s="668"/>
      <c r="Q46" s="464"/>
      <c r="R46" s="428" t="str">
        <f t="shared" ca="1" si="0"/>
        <v/>
      </c>
      <c r="S46" s="45"/>
      <c r="T46" s="505"/>
      <c r="U46" s="323"/>
      <c r="V46" s="5"/>
      <c r="W46" s="320"/>
      <c r="X46" s="320"/>
      <c r="Y46" s="320"/>
      <c r="Z46" s="320"/>
      <c r="AA46" s="320"/>
      <c r="AB46" s="320"/>
      <c r="AC46" s="320"/>
      <c r="AD46" s="320"/>
      <c r="AE46" s="320"/>
      <c r="AF46" s="320"/>
      <c r="AG46" s="320"/>
      <c r="AH46" s="320"/>
      <c r="AI46" s="320"/>
      <c r="AJ46" s="320"/>
      <c r="AK46" s="320"/>
      <c r="AL46" s="320"/>
      <c r="AM46" s="320"/>
      <c r="AN46" s="320"/>
      <c r="AO46" s="320"/>
      <c r="AP46" s="320"/>
      <c r="AQ46" s="320"/>
      <c r="AR46" s="320"/>
      <c r="AS46" s="320"/>
      <c r="AT46" s="320"/>
      <c r="AU46" s="320"/>
      <c r="AV46" s="320"/>
      <c r="AW46" s="320"/>
      <c r="AX46" s="320"/>
      <c r="AY46" s="320"/>
      <c r="AZ46" s="320"/>
      <c r="BA46" s="320"/>
      <c r="BB46" s="320"/>
      <c r="BC46" s="320"/>
      <c r="BD46" s="320"/>
      <c r="BE46" s="320"/>
      <c r="BF46" s="320"/>
      <c r="BG46" s="320"/>
      <c r="BH46" s="320"/>
      <c r="BI46" s="320"/>
      <c r="BJ46" s="320"/>
      <c r="BK46" s="320"/>
      <c r="BL46" s="320"/>
      <c r="BM46" s="320"/>
      <c r="BN46" s="320"/>
      <c r="BO46" s="320"/>
      <c r="BP46" s="320"/>
      <c r="BQ46" s="320"/>
      <c r="BR46" s="320"/>
      <c r="BS46" s="320"/>
      <c r="BT46" s="320"/>
      <c r="BU46" s="320"/>
      <c r="BV46" s="320"/>
      <c r="BW46" s="320"/>
    </row>
    <row r="47" spans="1:75" s="325" customFormat="1" ht="29.45" customHeight="1">
      <c r="A47" s="320"/>
      <c r="B47" s="5"/>
      <c r="C47" s="274"/>
      <c r="D47" s="270"/>
      <c r="E47" s="478"/>
      <c r="F47" s="479"/>
      <c r="G47" s="479"/>
      <c r="H47" s="480"/>
      <c r="I47" s="462"/>
      <c r="J47" s="462"/>
      <c r="K47" s="425"/>
      <c r="L47" s="472"/>
      <c r="M47" s="473"/>
      <c r="N47" s="474"/>
      <c r="O47" s="667"/>
      <c r="P47" s="668"/>
      <c r="Q47" s="464"/>
      <c r="R47" s="428" t="str">
        <f t="shared" ca="1" si="0"/>
        <v/>
      </c>
      <c r="S47" s="45"/>
      <c r="T47" s="505"/>
      <c r="U47" s="323"/>
      <c r="V47" s="5"/>
      <c r="W47" s="320"/>
      <c r="X47" s="320"/>
      <c r="Y47" s="320"/>
      <c r="Z47" s="320"/>
      <c r="AA47" s="320"/>
      <c r="AB47" s="320"/>
      <c r="AC47" s="320"/>
      <c r="AD47" s="320"/>
      <c r="AE47" s="320"/>
      <c r="AF47" s="320"/>
      <c r="AG47" s="320"/>
      <c r="AH47" s="320"/>
      <c r="AI47" s="320"/>
      <c r="AJ47" s="320"/>
      <c r="AK47" s="320"/>
      <c r="AL47" s="320"/>
      <c r="AM47" s="320"/>
      <c r="AN47" s="320"/>
      <c r="AO47" s="320"/>
      <c r="AP47" s="320"/>
      <c r="AQ47" s="320"/>
      <c r="AR47" s="320"/>
      <c r="AS47" s="320"/>
      <c r="AT47" s="320"/>
      <c r="AU47" s="320"/>
      <c r="AV47" s="320"/>
      <c r="AW47" s="320"/>
      <c r="AX47" s="320"/>
      <c r="AY47" s="320"/>
      <c r="AZ47" s="320"/>
      <c r="BA47" s="320"/>
      <c r="BB47" s="320"/>
      <c r="BC47" s="320"/>
      <c r="BD47" s="320"/>
      <c r="BE47" s="320"/>
      <c r="BF47" s="320"/>
      <c r="BG47" s="320"/>
      <c r="BH47" s="320"/>
      <c r="BI47" s="320"/>
      <c r="BJ47" s="320"/>
      <c r="BK47" s="320"/>
      <c r="BL47" s="320"/>
      <c r="BM47" s="320"/>
      <c r="BN47" s="320"/>
      <c r="BO47" s="320"/>
      <c r="BP47" s="320"/>
      <c r="BQ47" s="320"/>
      <c r="BR47" s="320"/>
      <c r="BS47" s="320"/>
      <c r="BT47" s="320"/>
      <c r="BU47" s="320"/>
      <c r="BV47" s="320"/>
      <c r="BW47" s="320"/>
    </row>
    <row r="48" spans="1:75" s="325" customFormat="1" ht="29.45" customHeight="1">
      <c r="A48" s="320"/>
      <c r="B48" s="5"/>
      <c r="C48" s="274"/>
      <c r="D48" s="270"/>
      <c r="E48" s="478"/>
      <c r="F48" s="479"/>
      <c r="G48" s="479"/>
      <c r="H48" s="480"/>
      <c r="I48" s="462"/>
      <c r="J48" s="462"/>
      <c r="K48" s="423"/>
      <c r="L48" s="472"/>
      <c r="M48" s="473"/>
      <c r="N48" s="474"/>
      <c r="O48" s="667"/>
      <c r="P48" s="668"/>
      <c r="Q48" s="464"/>
      <c r="R48" s="428" t="str">
        <f t="shared" ca="1" si="0"/>
        <v/>
      </c>
      <c r="S48" s="45"/>
      <c r="T48" s="505"/>
      <c r="U48" s="323"/>
      <c r="V48" s="5"/>
      <c r="W48" s="320"/>
      <c r="X48" s="320"/>
      <c r="Y48" s="320"/>
      <c r="Z48" s="320"/>
      <c r="AA48" s="320"/>
      <c r="AB48" s="320"/>
      <c r="AC48" s="320"/>
      <c r="AD48" s="320"/>
      <c r="AE48" s="320"/>
      <c r="AF48" s="320"/>
      <c r="AG48" s="320"/>
      <c r="AH48" s="320"/>
      <c r="AI48" s="320"/>
      <c r="AJ48" s="320"/>
      <c r="AK48" s="320"/>
      <c r="AL48" s="320"/>
      <c r="AM48" s="320"/>
      <c r="AN48" s="320"/>
      <c r="AO48" s="320"/>
      <c r="AP48" s="320"/>
      <c r="AQ48" s="320"/>
      <c r="AR48" s="320"/>
      <c r="AS48" s="320"/>
      <c r="AT48" s="320"/>
      <c r="AU48" s="320"/>
      <c r="AV48" s="320"/>
      <c r="AW48" s="320"/>
      <c r="AX48" s="320"/>
      <c r="AY48" s="320"/>
      <c r="AZ48" s="320"/>
      <c r="BA48" s="320"/>
      <c r="BB48" s="320"/>
      <c r="BC48" s="320"/>
      <c r="BD48" s="320"/>
      <c r="BE48" s="320"/>
      <c r="BF48" s="320"/>
      <c r="BG48" s="320"/>
      <c r="BH48" s="320"/>
      <c r="BI48" s="320"/>
      <c r="BJ48" s="320"/>
      <c r="BK48" s="320"/>
      <c r="BL48" s="320"/>
      <c r="BM48" s="320"/>
      <c r="BN48" s="320"/>
      <c r="BO48" s="320"/>
      <c r="BP48" s="320"/>
      <c r="BQ48" s="320"/>
      <c r="BR48" s="320"/>
      <c r="BS48" s="320"/>
      <c r="BT48" s="320"/>
      <c r="BU48" s="320"/>
      <c r="BV48" s="320"/>
      <c r="BW48" s="320"/>
    </row>
    <row r="49" spans="1:75" s="325" customFormat="1" ht="29.45" customHeight="1">
      <c r="A49" s="320"/>
      <c r="B49" s="5"/>
      <c r="C49" s="274"/>
      <c r="D49" s="270"/>
      <c r="E49" s="478"/>
      <c r="F49" s="479"/>
      <c r="G49" s="479"/>
      <c r="H49" s="480"/>
      <c r="I49" s="462"/>
      <c r="J49" s="462"/>
      <c r="K49" s="423"/>
      <c r="L49" s="472"/>
      <c r="M49" s="473"/>
      <c r="N49" s="474"/>
      <c r="O49" s="667"/>
      <c r="P49" s="668"/>
      <c r="Q49" s="464"/>
      <c r="R49" s="428" t="str">
        <f t="shared" ca="1" si="0"/>
        <v/>
      </c>
      <c r="S49" s="45"/>
      <c r="T49" s="505"/>
      <c r="U49" s="323"/>
      <c r="V49" s="5"/>
      <c r="W49" s="320"/>
      <c r="X49" s="320"/>
      <c r="Y49" s="320"/>
      <c r="Z49" s="320"/>
      <c r="AA49" s="320"/>
      <c r="AB49" s="320"/>
      <c r="AC49" s="320"/>
      <c r="AD49" s="320"/>
      <c r="AE49" s="320"/>
      <c r="AF49" s="320"/>
      <c r="AG49" s="320"/>
      <c r="AH49" s="320"/>
      <c r="AI49" s="320"/>
      <c r="AJ49" s="320"/>
      <c r="AK49" s="320"/>
      <c r="AL49" s="320"/>
      <c r="AM49" s="320"/>
      <c r="AN49" s="320"/>
      <c r="AO49" s="320"/>
      <c r="AP49" s="320"/>
      <c r="AQ49" s="320"/>
      <c r="AR49" s="320"/>
      <c r="AS49" s="320"/>
      <c r="AT49" s="320"/>
      <c r="AU49" s="320"/>
      <c r="AV49" s="320"/>
      <c r="AW49" s="320"/>
      <c r="AX49" s="320"/>
      <c r="AY49" s="320"/>
      <c r="AZ49" s="320"/>
      <c r="BA49" s="320"/>
      <c r="BB49" s="320"/>
      <c r="BC49" s="320"/>
      <c r="BD49" s="320"/>
      <c r="BE49" s="320"/>
      <c r="BF49" s="320"/>
      <c r="BG49" s="320"/>
      <c r="BH49" s="320"/>
      <c r="BI49" s="320"/>
      <c r="BJ49" s="320"/>
      <c r="BK49" s="320"/>
      <c r="BL49" s="320"/>
      <c r="BM49" s="320"/>
      <c r="BN49" s="320"/>
      <c r="BO49" s="320"/>
      <c r="BP49" s="320"/>
      <c r="BQ49" s="320"/>
      <c r="BR49" s="320"/>
      <c r="BS49" s="320"/>
      <c r="BT49" s="320"/>
      <c r="BU49" s="320"/>
      <c r="BV49" s="320"/>
      <c r="BW49" s="320"/>
    </row>
    <row r="50" spans="1:75" s="325" customFormat="1" ht="29.45" customHeight="1">
      <c r="A50" s="320"/>
      <c r="B50" s="5"/>
      <c r="C50" s="274"/>
      <c r="D50" s="270"/>
      <c r="E50" s="478"/>
      <c r="F50" s="479"/>
      <c r="G50" s="479"/>
      <c r="H50" s="480"/>
      <c r="I50" s="462"/>
      <c r="J50" s="462"/>
      <c r="K50" s="425"/>
      <c r="L50" s="472"/>
      <c r="M50" s="473"/>
      <c r="N50" s="474"/>
      <c r="O50" s="667"/>
      <c r="P50" s="668"/>
      <c r="Q50" s="464"/>
      <c r="R50" s="428" t="str">
        <f t="shared" ref="R50:R53" ca="1" si="2">IF(J50="","",IF(AND(J50&lt;=TODAY(),K50&lt;100%),1,IF(AND(K50=100%,L50&gt;"",Q50&lt;&gt;"Yes"),2,IF(OR(AND(J50&gt;=Q50,Q50&lt;&gt;"",J50&gt;TODAY()),J50&gt;TODAY()),3,IF(AND(J50&lt;&gt;"",Q50&lt;&gt;"",K50=100%),3,3)))))</f>
        <v/>
      </c>
      <c r="S50" s="45"/>
      <c r="T50" s="505"/>
      <c r="U50" s="323"/>
      <c r="V50" s="5"/>
      <c r="W50" s="320"/>
      <c r="X50" s="320"/>
      <c r="Y50" s="320"/>
      <c r="Z50" s="320"/>
      <c r="AA50" s="320"/>
      <c r="AB50" s="320"/>
      <c r="AC50" s="320"/>
      <c r="AD50" s="320"/>
      <c r="AE50" s="320"/>
      <c r="AF50" s="320"/>
      <c r="AG50" s="320"/>
      <c r="AH50" s="320"/>
      <c r="AI50" s="320"/>
      <c r="AJ50" s="320"/>
      <c r="AK50" s="320"/>
      <c r="AL50" s="320"/>
      <c r="AM50" s="320"/>
      <c r="AN50" s="320"/>
      <c r="AO50" s="320"/>
      <c r="AP50" s="320"/>
      <c r="AQ50" s="320"/>
      <c r="AR50" s="320"/>
      <c r="AS50" s="320"/>
      <c r="AT50" s="320"/>
      <c r="AU50" s="320"/>
      <c r="AV50" s="320"/>
      <c r="AW50" s="320"/>
      <c r="AX50" s="320"/>
      <c r="AY50" s="320"/>
      <c r="AZ50" s="320"/>
      <c r="BA50" s="320"/>
      <c r="BB50" s="320"/>
      <c r="BC50" s="320"/>
      <c r="BD50" s="320"/>
      <c r="BE50" s="320"/>
      <c r="BF50" s="320"/>
      <c r="BG50" s="320"/>
      <c r="BH50" s="320"/>
      <c r="BI50" s="320"/>
      <c r="BJ50" s="320"/>
      <c r="BK50" s="320"/>
      <c r="BL50" s="320"/>
      <c r="BM50" s="320"/>
      <c r="BN50" s="320"/>
      <c r="BO50" s="320"/>
      <c r="BP50" s="320"/>
      <c r="BQ50" s="320"/>
      <c r="BR50" s="320"/>
      <c r="BS50" s="320"/>
      <c r="BT50" s="320"/>
      <c r="BU50" s="320"/>
      <c r="BV50" s="320"/>
      <c r="BW50" s="320"/>
    </row>
    <row r="51" spans="1:75" s="325" customFormat="1" ht="29.45" customHeight="1">
      <c r="A51" s="320"/>
      <c r="B51" s="5"/>
      <c r="C51" s="274"/>
      <c r="D51" s="270"/>
      <c r="E51" s="478"/>
      <c r="F51" s="479"/>
      <c r="G51" s="479"/>
      <c r="H51" s="480"/>
      <c r="I51" s="462"/>
      <c r="J51" s="462"/>
      <c r="K51" s="423"/>
      <c r="L51" s="472"/>
      <c r="M51" s="473"/>
      <c r="N51" s="474"/>
      <c r="O51" s="667"/>
      <c r="P51" s="668"/>
      <c r="Q51" s="464"/>
      <c r="R51" s="428" t="str">
        <f t="shared" ca="1" si="2"/>
        <v/>
      </c>
      <c r="S51" s="45"/>
      <c r="T51" s="505"/>
      <c r="U51" s="323"/>
      <c r="V51" s="5"/>
      <c r="W51" s="320"/>
      <c r="X51" s="320"/>
      <c r="Y51" s="320"/>
      <c r="Z51" s="320"/>
      <c r="AA51" s="320"/>
      <c r="AB51" s="320"/>
      <c r="AC51" s="320"/>
      <c r="AD51" s="320"/>
      <c r="AE51" s="320"/>
      <c r="AF51" s="320"/>
      <c r="AG51" s="320"/>
      <c r="AH51" s="320"/>
      <c r="AI51" s="320"/>
      <c r="AJ51" s="320"/>
      <c r="AK51" s="320"/>
      <c r="AL51" s="320"/>
      <c r="AM51" s="320"/>
      <c r="AN51" s="320"/>
      <c r="AO51" s="320"/>
      <c r="AP51" s="320"/>
      <c r="AQ51" s="320"/>
      <c r="AR51" s="320"/>
      <c r="AS51" s="320"/>
      <c r="AT51" s="320"/>
      <c r="AU51" s="320"/>
      <c r="AV51" s="320"/>
      <c r="AW51" s="320"/>
      <c r="AX51" s="320"/>
      <c r="AY51" s="320"/>
      <c r="AZ51" s="320"/>
      <c r="BA51" s="320"/>
      <c r="BB51" s="320"/>
      <c r="BC51" s="320"/>
      <c r="BD51" s="320"/>
      <c r="BE51" s="320"/>
      <c r="BF51" s="320"/>
      <c r="BG51" s="320"/>
      <c r="BH51" s="320"/>
      <c r="BI51" s="320"/>
      <c r="BJ51" s="320"/>
      <c r="BK51" s="320"/>
      <c r="BL51" s="320"/>
      <c r="BM51" s="320"/>
      <c r="BN51" s="320"/>
      <c r="BO51" s="320"/>
      <c r="BP51" s="320"/>
      <c r="BQ51" s="320"/>
      <c r="BR51" s="320"/>
      <c r="BS51" s="320"/>
      <c r="BT51" s="320"/>
      <c r="BU51" s="320"/>
      <c r="BV51" s="320"/>
      <c r="BW51" s="320"/>
    </row>
    <row r="52" spans="1:75" s="325" customFormat="1" ht="29.45" customHeight="1">
      <c r="A52" s="320"/>
      <c r="B52" s="5"/>
      <c r="C52" s="274"/>
      <c r="D52" s="270"/>
      <c r="E52" s="478"/>
      <c r="F52" s="479"/>
      <c r="G52" s="479"/>
      <c r="H52" s="480"/>
      <c r="I52" s="462"/>
      <c r="J52" s="462"/>
      <c r="K52" s="423"/>
      <c r="L52" s="472"/>
      <c r="M52" s="473"/>
      <c r="N52" s="474"/>
      <c r="O52" s="667"/>
      <c r="P52" s="668"/>
      <c r="Q52" s="464"/>
      <c r="R52" s="428" t="str">
        <f t="shared" ca="1" si="2"/>
        <v/>
      </c>
      <c r="S52" s="45"/>
      <c r="T52" s="505"/>
      <c r="U52" s="323"/>
      <c r="V52" s="5"/>
      <c r="W52" s="320"/>
      <c r="X52" s="320"/>
      <c r="Y52" s="320"/>
      <c r="Z52" s="320"/>
      <c r="AA52" s="320"/>
      <c r="AB52" s="320"/>
      <c r="AC52" s="320"/>
      <c r="AD52" s="320"/>
      <c r="AE52" s="320"/>
      <c r="AF52" s="320"/>
      <c r="AG52" s="320"/>
      <c r="AH52" s="320"/>
      <c r="AI52" s="320"/>
      <c r="AJ52" s="320"/>
      <c r="AK52" s="320"/>
      <c r="AL52" s="320"/>
      <c r="AM52" s="320"/>
      <c r="AN52" s="320"/>
      <c r="AO52" s="320"/>
      <c r="AP52" s="320"/>
      <c r="AQ52" s="320"/>
      <c r="AR52" s="320"/>
      <c r="AS52" s="320"/>
      <c r="AT52" s="320"/>
      <c r="AU52" s="320"/>
      <c r="AV52" s="320"/>
      <c r="AW52" s="320"/>
      <c r="AX52" s="320"/>
      <c r="AY52" s="320"/>
      <c r="AZ52" s="320"/>
      <c r="BA52" s="320"/>
      <c r="BB52" s="320"/>
      <c r="BC52" s="320"/>
      <c r="BD52" s="320"/>
      <c r="BE52" s="320"/>
      <c r="BF52" s="320"/>
      <c r="BG52" s="320"/>
      <c r="BH52" s="320"/>
      <c r="BI52" s="320"/>
      <c r="BJ52" s="320"/>
      <c r="BK52" s="320"/>
      <c r="BL52" s="320"/>
      <c r="BM52" s="320"/>
      <c r="BN52" s="320"/>
      <c r="BO52" s="320"/>
      <c r="BP52" s="320"/>
      <c r="BQ52" s="320"/>
      <c r="BR52" s="320"/>
      <c r="BS52" s="320"/>
      <c r="BT52" s="320"/>
      <c r="BU52" s="320"/>
      <c r="BV52" s="320"/>
      <c r="BW52" s="320"/>
    </row>
    <row r="53" spans="1:75" s="325" customFormat="1" ht="29.45" customHeight="1">
      <c r="A53" s="320"/>
      <c r="B53" s="5"/>
      <c r="C53" s="274"/>
      <c r="D53" s="270"/>
      <c r="E53" s="478"/>
      <c r="F53" s="479"/>
      <c r="G53" s="479"/>
      <c r="H53" s="480"/>
      <c r="I53" s="462"/>
      <c r="J53" s="462"/>
      <c r="K53" s="423"/>
      <c r="L53" s="472"/>
      <c r="M53" s="473"/>
      <c r="N53" s="474"/>
      <c r="O53" s="667"/>
      <c r="P53" s="668"/>
      <c r="Q53" s="464"/>
      <c r="R53" s="428" t="str">
        <f t="shared" ca="1" si="2"/>
        <v/>
      </c>
      <c r="S53" s="45"/>
      <c r="T53" s="505"/>
      <c r="U53" s="323"/>
      <c r="V53" s="5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</row>
    <row r="54" spans="1:75" s="325" customFormat="1" ht="29.45" customHeight="1">
      <c r="A54" s="320"/>
      <c r="B54" s="5"/>
      <c r="C54" s="274"/>
      <c r="D54" s="270"/>
      <c r="E54" s="478"/>
      <c r="F54" s="479"/>
      <c r="G54" s="479"/>
      <c r="H54" s="480"/>
      <c r="I54" s="462"/>
      <c r="J54" s="462"/>
      <c r="K54" s="423"/>
      <c r="L54" s="472"/>
      <c r="M54" s="473"/>
      <c r="N54" s="474"/>
      <c r="O54" s="667"/>
      <c r="P54" s="668"/>
      <c r="Q54" s="464"/>
      <c r="R54" s="428" t="str">
        <f t="shared" ca="1" si="0"/>
        <v/>
      </c>
      <c r="S54" s="45"/>
      <c r="T54" s="505"/>
      <c r="U54" s="323"/>
      <c r="V54" s="5"/>
      <c r="W54" s="320"/>
      <c r="X54" s="320"/>
      <c r="Y54" s="320"/>
      <c r="Z54" s="320"/>
      <c r="AA54" s="320"/>
      <c r="AB54" s="320"/>
      <c r="AC54" s="320"/>
      <c r="AD54" s="320"/>
      <c r="AE54" s="320"/>
      <c r="AF54" s="320"/>
      <c r="AG54" s="320"/>
      <c r="AH54" s="320"/>
      <c r="AI54" s="320"/>
      <c r="AJ54" s="320"/>
      <c r="AK54" s="320"/>
      <c r="AL54" s="320"/>
      <c r="AM54" s="320"/>
      <c r="AN54" s="320"/>
      <c r="AO54" s="320"/>
      <c r="AP54" s="320"/>
      <c r="AQ54" s="320"/>
      <c r="AR54" s="320"/>
      <c r="AS54" s="320"/>
      <c r="AT54" s="320"/>
      <c r="AU54" s="320"/>
      <c r="AV54" s="320"/>
      <c r="AW54" s="320"/>
      <c r="AX54" s="320"/>
      <c r="AY54" s="320"/>
      <c r="AZ54" s="320"/>
      <c r="BA54" s="320"/>
      <c r="BB54" s="320"/>
      <c r="BC54" s="320"/>
      <c r="BD54" s="320"/>
      <c r="BE54" s="320"/>
      <c r="BF54" s="320"/>
      <c r="BG54" s="320"/>
      <c r="BH54" s="320"/>
      <c r="BI54" s="320"/>
      <c r="BJ54" s="320"/>
      <c r="BK54" s="320"/>
      <c r="BL54" s="320"/>
      <c r="BM54" s="320"/>
      <c r="BN54" s="320"/>
      <c r="BO54" s="320"/>
      <c r="BP54" s="320"/>
      <c r="BQ54" s="320"/>
      <c r="BR54" s="320"/>
      <c r="BS54" s="320"/>
      <c r="BT54" s="320"/>
      <c r="BU54" s="320"/>
      <c r="BV54" s="320"/>
      <c r="BW54" s="320"/>
    </row>
    <row r="55" spans="1:75" s="325" customFormat="1" ht="29.45" customHeight="1">
      <c r="A55" s="320"/>
      <c r="B55" s="5"/>
      <c r="C55" s="274"/>
      <c r="D55" s="270"/>
      <c r="E55" s="478"/>
      <c r="F55" s="479"/>
      <c r="G55" s="479"/>
      <c r="H55" s="480"/>
      <c r="I55" s="462"/>
      <c r="J55" s="462"/>
      <c r="K55" s="423"/>
      <c r="L55" s="472"/>
      <c r="M55" s="473"/>
      <c r="N55" s="474"/>
      <c r="O55" s="667"/>
      <c r="P55" s="668"/>
      <c r="Q55" s="464"/>
      <c r="R55" s="428" t="str">
        <f t="shared" ca="1" si="0"/>
        <v/>
      </c>
      <c r="S55" s="45"/>
      <c r="T55" s="505"/>
      <c r="U55" s="323"/>
      <c r="V55" s="5"/>
      <c r="W55" s="320"/>
      <c r="X55" s="320"/>
      <c r="Y55" s="320"/>
      <c r="Z55" s="320"/>
      <c r="AA55" s="320"/>
      <c r="AB55" s="320"/>
      <c r="AC55" s="320"/>
      <c r="AD55" s="320"/>
      <c r="AE55" s="320"/>
      <c r="AF55" s="320"/>
      <c r="AG55" s="320"/>
      <c r="AH55" s="320"/>
      <c r="AI55" s="320"/>
      <c r="AJ55" s="320"/>
      <c r="AK55" s="320"/>
      <c r="AL55" s="320"/>
      <c r="AM55" s="320"/>
      <c r="AN55" s="320"/>
      <c r="AO55" s="320"/>
      <c r="AP55" s="320"/>
      <c r="AQ55" s="320"/>
      <c r="AR55" s="320"/>
      <c r="AS55" s="320"/>
      <c r="AT55" s="320"/>
      <c r="AU55" s="320"/>
      <c r="AV55" s="320"/>
      <c r="AW55" s="320"/>
      <c r="AX55" s="320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 s="320"/>
      <c r="BJ55" s="320"/>
      <c r="BK55" s="320"/>
      <c r="BL55" s="320"/>
      <c r="BM55" s="320"/>
      <c r="BN55" s="320"/>
      <c r="BO55" s="320"/>
      <c r="BP55" s="320"/>
      <c r="BQ55" s="320"/>
      <c r="BR55" s="320"/>
      <c r="BS55" s="320"/>
      <c r="BT55" s="320"/>
      <c r="BU55" s="320"/>
      <c r="BV55" s="320"/>
      <c r="BW55" s="320"/>
    </row>
    <row r="56" spans="1:75" s="325" customFormat="1" ht="29.45" customHeight="1">
      <c r="A56" s="320"/>
      <c r="B56" s="5"/>
      <c r="C56" s="274"/>
      <c r="D56" s="270"/>
      <c r="E56" s="478"/>
      <c r="F56" s="479"/>
      <c r="G56" s="479"/>
      <c r="H56" s="480"/>
      <c r="I56" s="462"/>
      <c r="J56" s="462"/>
      <c r="K56" s="423"/>
      <c r="L56" s="472"/>
      <c r="M56" s="473"/>
      <c r="N56" s="474"/>
      <c r="O56" s="667"/>
      <c r="P56" s="668"/>
      <c r="Q56" s="464"/>
      <c r="R56" s="428" t="str">
        <f t="shared" ca="1" si="0"/>
        <v/>
      </c>
      <c r="S56" s="45"/>
      <c r="T56" s="505"/>
      <c r="U56" s="323"/>
      <c r="V56" s="5"/>
      <c r="W56" s="320"/>
      <c r="X56" s="320"/>
      <c r="Y56" s="320"/>
      <c r="Z56" s="320"/>
      <c r="AA56" s="320"/>
      <c r="AB56" s="320"/>
      <c r="AC56" s="320"/>
      <c r="AD56" s="320"/>
      <c r="AE56" s="320"/>
      <c r="AF56" s="320"/>
      <c r="AG56" s="320"/>
      <c r="AH56" s="320"/>
      <c r="AI56" s="320"/>
      <c r="AJ56" s="320"/>
      <c r="AK56" s="320"/>
      <c r="AL56" s="320"/>
      <c r="AM56" s="320"/>
      <c r="AN56" s="320"/>
      <c r="AO56" s="320"/>
      <c r="AP56" s="320"/>
      <c r="AQ56" s="320"/>
      <c r="AR56" s="320"/>
      <c r="AS56" s="320"/>
      <c r="AT56" s="320"/>
      <c r="AU56" s="320"/>
      <c r="AV56" s="320"/>
      <c r="AW56" s="320"/>
      <c r="AX56" s="320"/>
      <c r="AY56" s="320"/>
      <c r="AZ56" s="320"/>
      <c r="BA56" s="320"/>
      <c r="BB56" s="320"/>
      <c r="BC56" s="320"/>
      <c r="BD56" s="320"/>
      <c r="BE56" s="320"/>
      <c r="BF56" s="320"/>
      <c r="BG56" s="320"/>
      <c r="BH56" s="320"/>
      <c r="BI56" s="320"/>
      <c r="BJ56" s="320"/>
      <c r="BK56" s="320"/>
      <c r="BL56" s="320"/>
      <c r="BM56" s="320"/>
      <c r="BN56" s="320"/>
      <c r="BO56" s="320"/>
      <c r="BP56" s="320"/>
      <c r="BQ56" s="320"/>
      <c r="BR56" s="320"/>
      <c r="BS56" s="320"/>
      <c r="BT56" s="320"/>
      <c r="BU56" s="320"/>
      <c r="BV56" s="320"/>
      <c r="BW56" s="320"/>
    </row>
    <row r="57" spans="1:75" s="325" customFormat="1" ht="29.45" customHeight="1">
      <c r="A57" s="320"/>
      <c r="B57" s="5"/>
      <c r="C57" s="274"/>
      <c r="D57" s="270"/>
      <c r="E57" s="478"/>
      <c r="F57" s="479"/>
      <c r="G57" s="479"/>
      <c r="H57" s="480"/>
      <c r="I57" s="462"/>
      <c r="J57" s="462"/>
      <c r="K57" s="423"/>
      <c r="L57" s="472"/>
      <c r="M57" s="473"/>
      <c r="N57" s="474"/>
      <c r="O57" s="667"/>
      <c r="P57" s="668"/>
      <c r="Q57" s="464"/>
      <c r="R57" s="428" t="str">
        <f t="shared" ca="1" si="0"/>
        <v/>
      </c>
      <c r="S57" s="45"/>
      <c r="T57" s="505"/>
      <c r="U57" s="323"/>
      <c r="V57" s="5"/>
      <c r="W57" s="320"/>
      <c r="X57" s="320"/>
      <c r="Y57" s="320"/>
      <c r="Z57" s="320"/>
      <c r="AA57" s="320"/>
      <c r="AB57" s="320"/>
      <c r="AC57" s="320"/>
      <c r="AD57" s="320"/>
      <c r="AE57" s="320"/>
      <c r="AF57" s="320"/>
      <c r="AG57" s="320"/>
      <c r="AH57" s="320"/>
      <c r="AI57" s="320"/>
      <c r="AJ57" s="320"/>
      <c r="AK57" s="320"/>
      <c r="AL57" s="320"/>
      <c r="AM57" s="320"/>
      <c r="AN57" s="320"/>
      <c r="AO57" s="320"/>
      <c r="AP57" s="320"/>
      <c r="AQ57" s="320"/>
      <c r="AR57" s="320"/>
      <c r="AS57" s="320"/>
      <c r="AT57" s="320"/>
      <c r="AU57" s="320"/>
      <c r="AV57" s="320"/>
      <c r="AW57" s="320"/>
      <c r="AX57" s="320"/>
      <c r="AY57" s="320"/>
      <c r="AZ57" s="320"/>
      <c r="BA57" s="320"/>
      <c r="BB57" s="320"/>
      <c r="BC57" s="320"/>
      <c r="BD57" s="320"/>
      <c r="BE57" s="320"/>
      <c r="BF57" s="320"/>
      <c r="BG57" s="320"/>
      <c r="BH57" s="320"/>
      <c r="BI57" s="320"/>
      <c r="BJ57" s="320"/>
      <c r="BK57" s="320"/>
      <c r="BL57" s="320"/>
      <c r="BM57" s="320"/>
      <c r="BN57" s="320"/>
      <c r="BO57" s="320"/>
      <c r="BP57" s="320"/>
      <c r="BQ57" s="320"/>
      <c r="BR57" s="320"/>
      <c r="BS57" s="320"/>
      <c r="BT57" s="320"/>
      <c r="BU57" s="320"/>
      <c r="BV57" s="320"/>
      <c r="BW57" s="320"/>
    </row>
    <row r="58" spans="1:75" s="325" customFormat="1" ht="29.45" customHeight="1">
      <c r="A58" s="320"/>
      <c r="B58" s="5"/>
      <c r="C58" s="274"/>
      <c r="D58" s="270"/>
      <c r="E58" s="478"/>
      <c r="F58" s="479"/>
      <c r="G58" s="479"/>
      <c r="H58" s="480"/>
      <c r="I58" s="462"/>
      <c r="J58" s="462"/>
      <c r="K58" s="423"/>
      <c r="L58" s="472"/>
      <c r="M58" s="473"/>
      <c r="N58" s="474"/>
      <c r="O58" s="667"/>
      <c r="P58" s="668"/>
      <c r="Q58" s="464"/>
      <c r="R58" s="428" t="str">
        <f t="shared" ca="1" si="0"/>
        <v/>
      </c>
      <c r="S58" s="45"/>
      <c r="T58" s="505"/>
      <c r="U58" s="323"/>
      <c r="V58" s="5"/>
      <c r="W58" s="320"/>
      <c r="X58" s="320"/>
      <c r="Y58" s="320"/>
      <c r="Z58" s="320"/>
      <c r="AA58" s="320"/>
      <c r="AB58" s="320"/>
      <c r="AC58" s="320"/>
      <c r="AD58" s="320"/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U58" s="320"/>
      <c r="AV58" s="320"/>
      <c r="AW58" s="320"/>
      <c r="AX58" s="320"/>
      <c r="AY58" s="320"/>
      <c r="AZ58" s="320"/>
      <c r="BA58" s="320"/>
      <c r="BB58" s="320"/>
      <c r="BC58" s="320"/>
      <c r="BD58" s="320"/>
      <c r="BE58" s="320"/>
      <c r="BF58" s="320"/>
      <c r="BG58" s="320"/>
      <c r="BH58" s="320"/>
      <c r="BI58" s="320"/>
      <c r="BJ58" s="320"/>
      <c r="BK58" s="320"/>
      <c r="BL58" s="320"/>
      <c r="BM58" s="320"/>
      <c r="BN58" s="320"/>
      <c r="BO58" s="320"/>
      <c r="BP58" s="320"/>
      <c r="BQ58" s="320"/>
      <c r="BR58" s="320"/>
      <c r="BS58" s="320"/>
      <c r="BT58" s="320"/>
      <c r="BU58" s="320"/>
      <c r="BV58" s="320"/>
      <c r="BW58" s="320"/>
    </row>
    <row r="59" spans="1:75" s="325" customFormat="1" ht="29.45" customHeight="1">
      <c r="A59" s="320"/>
      <c r="B59" s="5"/>
      <c r="C59" s="274"/>
      <c r="D59" s="270"/>
      <c r="E59" s="478"/>
      <c r="F59" s="479"/>
      <c r="G59" s="479"/>
      <c r="H59" s="480"/>
      <c r="I59" s="462"/>
      <c r="J59" s="462"/>
      <c r="K59" s="423"/>
      <c r="L59" s="465"/>
      <c r="M59" s="466"/>
      <c r="N59" s="467"/>
      <c r="O59" s="667"/>
      <c r="P59" s="668"/>
      <c r="Q59" s="464"/>
      <c r="R59" s="428" t="str">
        <f t="shared" ref="R59:R76" ca="1" si="3">IF(J59="","",IF(AND(J59&lt;=TODAY(),K59&lt;100%),1,IF(AND(K59=100%,L59&gt;"",Q59&lt;&gt;"Yes"),2,IF(OR(AND(J59&gt;=Q59,Q59&lt;&gt;"",J59&gt;TODAY()),J59&gt;TODAY()),3,IF(AND(J59&lt;&gt;"",Q59&lt;&gt;"",K59=100%),3,3)))))</f>
        <v/>
      </c>
      <c r="S59" s="45"/>
      <c r="T59" s="505"/>
      <c r="U59" s="323"/>
      <c r="V59" s="5"/>
      <c r="W59" s="320"/>
      <c r="X59" s="320"/>
      <c r="Y59" s="320"/>
      <c r="Z59" s="320"/>
      <c r="AA59" s="320"/>
      <c r="AB59" s="320"/>
      <c r="AC59" s="320"/>
      <c r="AD59" s="320"/>
      <c r="AE59" s="320"/>
      <c r="AF59" s="320"/>
      <c r="AG59" s="320"/>
      <c r="AH59" s="320"/>
      <c r="AI59" s="320"/>
      <c r="AJ59" s="320"/>
      <c r="AK59" s="320"/>
      <c r="AL59" s="320"/>
      <c r="AM59" s="320"/>
      <c r="AN59" s="320"/>
      <c r="AO59" s="320"/>
      <c r="AP59" s="320"/>
      <c r="AQ59" s="320"/>
      <c r="AR59" s="320"/>
      <c r="AS59" s="320"/>
      <c r="AT59" s="320"/>
      <c r="AU59" s="320"/>
      <c r="AV59" s="320"/>
      <c r="AW59" s="320"/>
      <c r="AX59" s="320"/>
      <c r="AY59" s="320"/>
      <c r="AZ59" s="320"/>
      <c r="BA59" s="320"/>
      <c r="BB59" s="320"/>
      <c r="BC59" s="320"/>
      <c r="BD59" s="320"/>
      <c r="BE59" s="320"/>
      <c r="BF59" s="320"/>
      <c r="BG59" s="320"/>
      <c r="BH59" s="320"/>
      <c r="BI59" s="320"/>
      <c r="BJ59" s="320"/>
      <c r="BK59" s="320"/>
      <c r="BL59" s="320"/>
      <c r="BM59" s="320"/>
      <c r="BN59" s="320"/>
      <c r="BO59" s="320"/>
      <c r="BP59" s="320"/>
      <c r="BQ59" s="320"/>
      <c r="BR59" s="320"/>
      <c r="BS59" s="320"/>
      <c r="BT59" s="320"/>
      <c r="BU59" s="320"/>
      <c r="BV59" s="320"/>
      <c r="BW59" s="320"/>
    </row>
    <row r="60" spans="1:75" s="325" customFormat="1" ht="29.45" customHeight="1">
      <c r="A60" s="320"/>
      <c r="B60" s="5"/>
      <c r="C60" s="274"/>
      <c r="D60" s="270"/>
      <c r="E60" s="478"/>
      <c r="F60" s="479"/>
      <c r="G60" s="479"/>
      <c r="H60" s="480"/>
      <c r="I60" s="462"/>
      <c r="J60" s="462"/>
      <c r="K60" s="423"/>
      <c r="L60" s="465"/>
      <c r="M60" s="466"/>
      <c r="N60" s="467"/>
      <c r="O60" s="667"/>
      <c r="P60" s="668"/>
      <c r="Q60" s="464"/>
      <c r="R60" s="428" t="str">
        <f t="shared" ca="1" si="3"/>
        <v/>
      </c>
      <c r="S60" s="45"/>
      <c r="T60" s="505"/>
      <c r="U60" s="323"/>
      <c r="V60" s="5"/>
      <c r="W60" s="320"/>
      <c r="X60" s="320"/>
      <c r="Y60" s="320"/>
      <c r="Z60" s="320"/>
      <c r="AA60" s="320"/>
      <c r="AB60" s="320"/>
      <c r="AC60" s="320"/>
      <c r="AD60" s="320"/>
      <c r="AE60" s="320"/>
      <c r="AF60" s="320"/>
      <c r="AG60" s="320"/>
      <c r="AH60" s="320"/>
      <c r="AI60" s="320"/>
      <c r="AJ60" s="320"/>
      <c r="AK60" s="320"/>
      <c r="AL60" s="320"/>
      <c r="AM60" s="320"/>
      <c r="AN60" s="320"/>
      <c r="AO60" s="320"/>
      <c r="AP60" s="320"/>
      <c r="AQ60" s="320"/>
      <c r="AR60" s="320"/>
      <c r="AS60" s="320"/>
      <c r="AT60" s="320"/>
      <c r="AU60" s="320"/>
      <c r="AV60" s="320"/>
      <c r="AW60" s="320"/>
      <c r="AX60" s="320"/>
      <c r="AY60" s="320"/>
      <c r="AZ60" s="320"/>
      <c r="BA60" s="320"/>
      <c r="BB60" s="320"/>
      <c r="BC60" s="320"/>
      <c r="BD60" s="320"/>
      <c r="BE60" s="320"/>
      <c r="BF60" s="320"/>
      <c r="BG60" s="320"/>
      <c r="BH60" s="320"/>
      <c r="BI60" s="320"/>
      <c r="BJ60" s="320"/>
      <c r="BK60" s="320"/>
      <c r="BL60" s="320"/>
      <c r="BM60" s="320"/>
      <c r="BN60" s="320"/>
      <c r="BO60" s="320"/>
      <c r="BP60" s="320"/>
      <c r="BQ60" s="320"/>
      <c r="BR60" s="320"/>
      <c r="BS60" s="320"/>
      <c r="BT60" s="320"/>
      <c r="BU60" s="320"/>
      <c r="BV60" s="320"/>
      <c r="BW60" s="320"/>
    </row>
    <row r="61" spans="1:75" s="325" customFormat="1" ht="29.45" customHeight="1">
      <c r="A61" s="320"/>
      <c r="B61" s="5"/>
      <c r="C61" s="274"/>
      <c r="D61" s="270"/>
      <c r="E61" s="478"/>
      <c r="F61" s="479"/>
      <c r="G61" s="479"/>
      <c r="H61" s="480"/>
      <c r="I61" s="462"/>
      <c r="J61" s="462"/>
      <c r="K61" s="423"/>
      <c r="L61" s="465"/>
      <c r="M61" s="466"/>
      <c r="N61" s="467"/>
      <c r="O61" s="667"/>
      <c r="P61" s="668"/>
      <c r="Q61" s="464"/>
      <c r="R61" s="428" t="str">
        <f t="shared" ca="1" si="3"/>
        <v/>
      </c>
      <c r="S61" s="45"/>
      <c r="T61" s="505"/>
      <c r="U61" s="323"/>
      <c r="V61" s="5"/>
      <c r="W61" s="320"/>
      <c r="X61" s="320"/>
      <c r="Y61" s="320"/>
      <c r="Z61" s="320"/>
      <c r="AA61" s="320"/>
      <c r="AB61" s="320"/>
      <c r="AC61" s="320"/>
      <c r="AD61" s="320"/>
      <c r="AE61" s="320"/>
      <c r="AF61" s="320"/>
      <c r="AG61" s="320"/>
      <c r="AH61" s="320"/>
      <c r="AI61" s="320"/>
      <c r="AJ61" s="320"/>
      <c r="AK61" s="320"/>
      <c r="AL61" s="320"/>
      <c r="AM61" s="320"/>
      <c r="AN61" s="320"/>
      <c r="AO61" s="320"/>
      <c r="AP61" s="320"/>
      <c r="AQ61" s="320"/>
      <c r="AR61" s="320"/>
      <c r="AS61" s="320"/>
      <c r="AT61" s="320"/>
      <c r="AU61" s="320"/>
      <c r="AV61" s="320"/>
      <c r="AW61" s="320"/>
      <c r="AX61" s="320"/>
      <c r="AY61" s="320"/>
      <c r="AZ61" s="320"/>
      <c r="BA61" s="320"/>
      <c r="BB61" s="320"/>
      <c r="BC61" s="320"/>
      <c r="BD61" s="320"/>
      <c r="BE61" s="320"/>
      <c r="BF61" s="320"/>
      <c r="BG61" s="320"/>
      <c r="BH61" s="320"/>
      <c r="BI61" s="320"/>
      <c r="BJ61" s="320"/>
      <c r="BK61" s="320"/>
      <c r="BL61" s="320"/>
      <c r="BM61" s="320"/>
      <c r="BN61" s="320"/>
      <c r="BO61" s="320"/>
      <c r="BP61" s="320"/>
      <c r="BQ61" s="320"/>
      <c r="BR61" s="320"/>
      <c r="BS61" s="320"/>
      <c r="BT61" s="320"/>
      <c r="BU61" s="320"/>
      <c r="BV61" s="320"/>
      <c r="BW61" s="320"/>
    </row>
    <row r="62" spans="1:75" s="325" customFormat="1" ht="29.45" customHeight="1">
      <c r="A62" s="320"/>
      <c r="B62" s="5"/>
      <c r="C62" s="274"/>
      <c r="D62" s="270"/>
      <c r="E62" s="478"/>
      <c r="F62" s="479"/>
      <c r="G62" s="479"/>
      <c r="H62" s="480"/>
      <c r="I62" s="462"/>
      <c r="J62" s="462"/>
      <c r="K62" s="423"/>
      <c r="L62" s="472"/>
      <c r="M62" s="473"/>
      <c r="N62" s="474"/>
      <c r="O62" s="667"/>
      <c r="P62" s="668"/>
      <c r="Q62" s="464"/>
      <c r="R62" s="428" t="str">
        <f t="shared" ca="1" si="3"/>
        <v/>
      </c>
      <c r="S62" s="45"/>
      <c r="T62" s="505"/>
      <c r="U62" s="323"/>
      <c r="V62" s="5"/>
      <c r="W62" s="320"/>
      <c r="X62" s="320"/>
      <c r="Y62" s="320"/>
      <c r="Z62" s="320"/>
      <c r="AA62" s="320"/>
      <c r="AB62" s="320"/>
      <c r="AC62" s="320"/>
      <c r="AD62" s="320"/>
      <c r="AE62" s="320"/>
      <c r="AF62" s="320"/>
      <c r="AG62" s="320"/>
      <c r="AH62" s="320"/>
      <c r="AI62" s="320"/>
      <c r="AJ62" s="320"/>
      <c r="AK62" s="320"/>
      <c r="AL62" s="320"/>
      <c r="AM62" s="320"/>
      <c r="AN62" s="320"/>
      <c r="AO62" s="320"/>
      <c r="AP62" s="320"/>
      <c r="AQ62" s="320"/>
      <c r="AR62" s="320"/>
      <c r="AS62" s="320"/>
      <c r="AT62" s="320"/>
      <c r="AU62" s="320"/>
      <c r="AV62" s="320"/>
      <c r="AW62" s="320"/>
      <c r="AX62" s="320"/>
      <c r="AY62" s="320"/>
      <c r="AZ62" s="320"/>
      <c r="BA62" s="320"/>
      <c r="BB62" s="320"/>
      <c r="BC62" s="320"/>
      <c r="BD62" s="320"/>
      <c r="BE62" s="320"/>
      <c r="BF62" s="320"/>
      <c r="BG62" s="320"/>
      <c r="BH62" s="320"/>
      <c r="BI62" s="320"/>
      <c r="BJ62" s="320"/>
      <c r="BK62" s="320"/>
      <c r="BL62" s="320"/>
      <c r="BM62" s="320"/>
      <c r="BN62" s="320"/>
      <c r="BO62" s="320"/>
      <c r="BP62" s="320"/>
      <c r="BQ62" s="320"/>
      <c r="BR62" s="320"/>
      <c r="BS62" s="320"/>
      <c r="BT62" s="320"/>
      <c r="BU62" s="320"/>
      <c r="BV62" s="320"/>
      <c r="BW62" s="320"/>
    </row>
    <row r="63" spans="1:75" s="325" customFormat="1" ht="29.45" customHeight="1">
      <c r="A63" s="320"/>
      <c r="B63" s="5"/>
      <c r="C63" s="274"/>
      <c r="D63" s="270"/>
      <c r="E63" s="478"/>
      <c r="F63" s="479"/>
      <c r="G63" s="479"/>
      <c r="H63" s="480"/>
      <c r="I63" s="462"/>
      <c r="J63" s="462"/>
      <c r="K63" s="423"/>
      <c r="L63" s="472"/>
      <c r="M63" s="473"/>
      <c r="N63" s="474"/>
      <c r="O63" s="667"/>
      <c r="P63" s="668"/>
      <c r="Q63" s="464"/>
      <c r="R63" s="428" t="str">
        <f t="shared" ca="1" si="3"/>
        <v/>
      </c>
      <c r="S63" s="45"/>
      <c r="T63" s="505"/>
      <c r="U63" s="323"/>
      <c r="V63" s="5"/>
      <c r="W63" s="320"/>
      <c r="X63" s="320"/>
      <c r="Y63" s="320"/>
      <c r="Z63" s="320"/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  <c r="AL63" s="320"/>
      <c r="AM63" s="320"/>
      <c r="AN63" s="320"/>
      <c r="AO63" s="320"/>
      <c r="AP63" s="320"/>
      <c r="AQ63" s="320"/>
      <c r="AR63" s="320"/>
      <c r="AS63" s="320"/>
      <c r="AT63" s="320"/>
      <c r="AU63" s="320"/>
      <c r="AV63" s="320"/>
      <c r="AW63" s="320"/>
      <c r="AX63" s="320"/>
      <c r="AY63" s="320"/>
      <c r="AZ63" s="320"/>
      <c r="BA63" s="320"/>
      <c r="BB63" s="320"/>
      <c r="BC63" s="320"/>
      <c r="BD63" s="320"/>
      <c r="BE63" s="320"/>
      <c r="BF63" s="320"/>
      <c r="BG63" s="320"/>
      <c r="BH63" s="320"/>
      <c r="BI63" s="320"/>
      <c r="BJ63" s="320"/>
      <c r="BK63" s="320"/>
      <c r="BL63" s="320"/>
      <c r="BM63" s="320"/>
      <c r="BN63" s="320"/>
      <c r="BO63" s="320"/>
      <c r="BP63" s="320"/>
      <c r="BQ63" s="320"/>
      <c r="BR63" s="320"/>
      <c r="BS63" s="320"/>
      <c r="BT63" s="320"/>
      <c r="BU63" s="320"/>
      <c r="BV63" s="320"/>
      <c r="BW63" s="320"/>
    </row>
    <row r="64" spans="1:75" s="325" customFormat="1" ht="29.45" customHeight="1">
      <c r="A64" s="320"/>
      <c r="B64" s="5"/>
      <c r="C64" s="274"/>
      <c r="D64" s="270"/>
      <c r="E64" s="478"/>
      <c r="F64" s="479"/>
      <c r="G64" s="479"/>
      <c r="H64" s="480"/>
      <c r="I64" s="462"/>
      <c r="J64" s="462"/>
      <c r="K64" s="423"/>
      <c r="L64" s="472"/>
      <c r="M64" s="473"/>
      <c r="N64" s="474"/>
      <c r="O64" s="667"/>
      <c r="P64" s="668"/>
      <c r="Q64" s="464"/>
      <c r="R64" s="428" t="str">
        <f t="shared" ca="1" si="3"/>
        <v/>
      </c>
      <c r="S64" s="45"/>
      <c r="T64" s="505"/>
      <c r="U64" s="323"/>
      <c r="V64" s="5"/>
      <c r="W64" s="320"/>
      <c r="X64" s="320"/>
      <c r="Y64" s="320"/>
      <c r="Z64" s="320"/>
      <c r="AA64" s="320"/>
      <c r="AB64" s="320"/>
      <c r="AC64" s="320"/>
      <c r="AD64" s="320"/>
      <c r="AE64" s="320"/>
      <c r="AF64" s="320"/>
      <c r="AG64" s="320"/>
      <c r="AH64" s="320"/>
      <c r="AI64" s="320"/>
      <c r="AJ64" s="320"/>
      <c r="AK64" s="320"/>
      <c r="AL64" s="320"/>
      <c r="AM64" s="320"/>
      <c r="AN64" s="320"/>
      <c r="AO64" s="320"/>
      <c r="AP64" s="320"/>
      <c r="AQ64" s="320"/>
      <c r="AR64" s="320"/>
      <c r="AS64" s="320"/>
      <c r="AT64" s="320"/>
      <c r="AU64" s="320"/>
      <c r="AV64" s="320"/>
      <c r="AW64" s="320"/>
      <c r="AX64" s="320"/>
      <c r="AY64" s="320"/>
      <c r="AZ64" s="320"/>
      <c r="BA64" s="320"/>
      <c r="BB64" s="320"/>
      <c r="BC64" s="320"/>
      <c r="BD64" s="320"/>
      <c r="BE64" s="320"/>
      <c r="BF64" s="320"/>
      <c r="BG64" s="320"/>
      <c r="BH64" s="320"/>
      <c r="BI64" s="320"/>
      <c r="BJ64" s="320"/>
      <c r="BK64" s="320"/>
      <c r="BL64" s="320"/>
      <c r="BM64" s="320"/>
      <c r="BN64" s="320"/>
      <c r="BO64" s="320"/>
      <c r="BP64" s="320"/>
      <c r="BQ64" s="320"/>
      <c r="BR64" s="320"/>
      <c r="BS64" s="320"/>
      <c r="BT64" s="320"/>
      <c r="BU64" s="320"/>
      <c r="BV64" s="320"/>
      <c r="BW64" s="320"/>
    </row>
    <row r="65" spans="1:75" s="325" customFormat="1" ht="29.45" customHeight="1">
      <c r="A65" s="320"/>
      <c r="B65" s="5"/>
      <c r="C65" s="274"/>
      <c r="D65" s="270"/>
      <c r="E65" s="566"/>
      <c r="F65" s="567"/>
      <c r="G65" s="567"/>
      <c r="H65" s="567"/>
      <c r="I65" s="422"/>
      <c r="J65" s="422"/>
      <c r="K65" s="423"/>
      <c r="L65" s="475"/>
      <c r="M65" s="476"/>
      <c r="N65" s="477"/>
      <c r="O65" s="669"/>
      <c r="P65" s="670"/>
      <c r="Q65" s="424"/>
      <c r="R65" s="428" t="str">
        <f t="shared" ca="1" si="3"/>
        <v/>
      </c>
      <c r="S65" s="45"/>
      <c r="T65" s="505"/>
      <c r="U65" s="323"/>
      <c r="V65" s="5"/>
      <c r="W65" s="320"/>
      <c r="X65" s="320"/>
      <c r="Y65" s="320"/>
      <c r="Z65" s="320"/>
      <c r="AA65" s="320"/>
      <c r="AB65" s="320"/>
      <c r="AC65" s="320"/>
      <c r="AD65" s="320"/>
      <c r="AE65" s="320"/>
      <c r="AF65" s="320"/>
      <c r="AG65" s="320"/>
      <c r="AH65" s="320"/>
      <c r="AI65" s="320"/>
      <c r="AJ65" s="320"/>
      <c r="AK65" s="320"/>
      <c r="AL65" s="320"/>
      <c r="AM65" s="320"/>
      <c r="AN65" s="320"/>
      <c r="AO65" s="320"/>
      <c r="AP65" s="320"/>
      <c r="AQ65" s="320"/>
      <c r="AR65" s="320"/>
      <c r="AS65" s="320"/>
      <c r="AT65" s="320"/>
      <c r="AU65" s="320"/>
      <c r="AV65" s="320"/>
      <c r="AW65" s="320"/>
      <c r="AX65" s="320"/>
      <c r="AY65" s="320"/>
      <c r="AZ65" s="320"/>
      <c r="BA65" s="320"/>
      <c r="BB65" s="320"/>
      <c r="BC65" s="320"/>
      <c r="BD65" s="320"/>
      <c r="BE65" s="320"/>
      <c r="BF65" s="320"/>
      <c r="BG65" s="320"/>
      <c r="BH65" s="320"/>
      <c r="BI65" s="320"/>
      <c r="BJ65" s="320"/>
      <c r="BK65" s="320"/>
      <c r="BL65" s="320"/>
      <c r="BM65" s="320"/>
      <c r="BN65" s="320"/>
      <c r="BO65" s="320"/>
      <c r="BP65" s="320"/>
      <c r="BQ65" s="320"/>
      <c r="BR65" s="320"/>
      <c r="BS65" s="320"/>
      <c r="BT65" s="320"/>
      <c r="BU65" s="320"/>
      <c r="BV65" s="320"/>
      <c r="BW65" s="320"/>
    </row>
    <row r="66" spans="1:75" s="325" customFormat="1" ht="29.45" customHeight="1">
      <c r="A66" s="320"/>
      <c r="B66" s="5"/>
      <c r="C66" s="274"/>
      <c r="D66" s="270"/>
      <c r="E66" s="566"/>
      <c r="F66" s="567"/>
      <c r="G66" s="567"/>
      <c r="H66" s="567"/>
      <c r="I66" s="422"/>
      <c r="J66" s="422"/>
      <c r="K66" s="423"/>
      <c r="L66" s="475"/>
      <c r="M66" s="476"/>
      <c r="N66" s="477"/>
      <c r="O66" s="669"/>
      <c r="P66" s="670"/>
      <c r="Q66" s="424"/>
      <c r="R66" s="428" t="str">
        <f t="shared" ca="1" si="3"/>
        <v/>
      </c>
      <c r="S66" s="45"/>
      <c r="T66" s="505"/>
      <c r="U66" s="323"/>
      <c r="V66" s="5"/>
      <c r="W66" s="320"/>
      <c r="X66" s="320"/>
      <c r="Y66" s="320"/>
      <c r="Z66" s="320"/>
      <c r="AA66" s="320"/>
      <c r="AB66" s="320"/>
      <c r="AC66" s="320"/>
      <c r="AD66" s="320"/>
      <c r="AE66" s="320"/>
      <c r="AF66" s="320"/>
      <c r="AG66" s="320"/>
      <c r="AH66" s="320"/>
      <c r="AI66" s="320"/>
      <c r="AJ66" s="320"/>
      <c r="AK66" s="320"/>
      <c r="AL66" s="320"/>
      <c r="AM66" s="320"/>
      <c r="AN66" s="320"/>
      <c r="AO66" s="320"/>
      <c r="AP66" s="320"/>
      <c r="AQ66" s="320"/>
      <c r="AR66" s="320"/>
      <c r="AS66" s="320"/>
      <c r="AT66" s="320"/>
      <c r="AU66" s="320"/>
      <c r="AV66" s="320"/>
      <c r="AW66" s="320"/>
      <c r="AX66" s="320"/>
      <c r="AY66" s="320"/>
      <c r="AZ66" s="320"/>
      <c r="BA66" s="320"/>
      <c r="BB66" s="320"/>
      <c r="BC66" s="320"/>
      <c r="BD66" s="320"/>
      <c r="BE66" s="320"/>
      <c r="BF66" s="320"/>
      <c r="BG66" s="320"/>
      <c r="BH66" s="320"/>
      <c r="BI66" s="320"/>
      <c r="BJ66" s="320"/>
      <c r="BK66" s="320"/>
      <c r="BL66" s="320"/>
      <c r="BM66" s="320"/>
      <c r="BN66" s="320"/>
      <c r="BO66" s="320"/>
      <c r="BP66" s="320"/>
      <c r="BQ66" s="320"/>
      <c r="BR66" s="320"/>
      <c r="BS66" s="320"/>
      <c r="BT66" s="320"/>
      <c r="BU66" s="320"/>
      <c r="BV66" s="320"/>
      <c r="BW66" s="320"/>
    </row>
    <row r="67" spans="1:75" s="325" customFormat="1" ht="29.45" customHeight="1">
      <c r="A67" s="320"/>
      <c r="B67" s="5"/>
      <c r="C67" s="274"/>
      <c r="D67" s="270"/>
      <c r="E67" s="566"/>
      <c r="F67" s="567"/>
      <c r="G67" s="567"/>
      <c r="H67" s="567"/>
      <c r="I67" s="422"/>
      <c r="J67" s="422"/>
      <c r="K67" s="423"/>
      <c r="L67" s="475"/>
      <c r="M67" s="476"/>
      <c r="N67" s="477"/>
      <c r="O67" s="669"/>
      <c r="P67" s="670"/>
      <c r="Q67" s="424"/>
      <c r="R67" s="428" t="str">
        <f t="shared" ca="1" si="3"/>
        <v/>
      </c>
      <c r="S67" s="45"/>
      <c r="T67" s="505"/>
      <c r="U67" s="323"/>
      <c r="V67" s="5"/>
      <c r="W67" s="320"/>
      <c r="X67" s="320"/>
      <c r="Y67" s="320"/>
      <c r="Z67" s="320"/>
      <c r="AA67" s="320"/>
      <c r="AB67" s="320"/>
      <c r="AC67" s="320"/>
      <c r="AD67" s="320"/>
      <c r="AE67" s="320"/>
      <c r="AF67" s="320"/>
      <c r="AG67" s="320"/>
      <c r="AH67" s="320"/>
      <c r="AI67" s="320"/>
      <c r="AJ67" s="320"/>
      <c r="AK67" s="320"/>
      <c r="AL67" s="320"/>
      <c r="AM67" s="320"/>
      <c r="AN67" s="320"/>
      <c r="AO67" s="320"/>
      <c r="AP67" s="320"/>
      <c r="AQ67" s="320"/>
      <c r="AR67" s="320"/>
      <c r="AS67" s="320"/>
      <c r="AT67" s="320"/>
      <c r="AU67" s="320"/>
      <c r="AV67" s="320"/>
      <c r="AW67" s="320"/>
      <c r="AX67" s="320"/>
      <c r="AY67" s="320"/>
      <c r="AZ67" s="320"/>
      <c r="BA67" s="320"/>
      <c r="BB67" s="320"/>
      <c r="BC67" s="320"/>
      <c r="BD67" s="320"/>
      <c r="BE67" s="320"/>
      <c r="BF67" s="320"/>
      <c r="BG67" s="320"/>
      <c r="BH67" s="320"/>
      <c r="BI67" s="320"/>
      <c r="BJ67" s="320"/>
      <c r="BK67" s="320"/>
      <c r="BL67" s="320"/>
      <c r="BM67" s="320"/>
      <c r="BN67" s="320"/>
      <c r="BO67" s="320"/>
      <c r="BP67" s="320"/>
      <c r="BQ67" s="320"/>
      <c r="BR67" s="320"/>
      <c r="BS67" s="320"/>
      <c r="BT67" s="320"/>
      <c r="BU67" s="320"/>
      <c r="BV67" s="320"/>
      <c r="BW67" s="320"/>
    </row>
    <row r="68" spans="1:75" s="325" customFormat="1" ht="29.45" customHeight="1">
      <c r="A68" s="320"/>
      <c r="B68" s="5"/>
      <c r="C68" s="274"/>
      <c r="D68" s="270"/>
      <c r="E68" s="566"/>
      <c r="F68" s="567"/>
      <c r="G68" s="567"/>
      <c r="H68" s="567"/>
      <c r="I68" s="422"/>
      <c r="J68" s="422"/>
      <c r="K68" s="423"/>
      <c r="L68" s="475"/>
      <c r="M68" s="476"/>
      <c r="N68" s="477"/>
      <c r="O68" s="669"/>
      <c r="P68" s="670"/>
      <c r="Q68" s="424"/>
      <c r="R68" s="428" t="str">
        <f t="shared" ca="1" si="3"/>
        <v/>
      </c>
      <c r="S68" s="45"/>
      <c r="T68" s="505"/>
      <c r="U68" s="323"/>
      <c r="V68" s="5"/>
      <c r="W68" s="320"/>
      <c r="X68" s="320"/>
      <c r="Y68" s="320"/>
      <c r="Z68" s="320"/>
      <c r="AA68" s="320"/>
      <c r="AB68" s="320"/>
      <c r="AC68" s="320"/>
      <c r="AD68" s="320"/>
      <c r="AE68" s="320"/>
      <c r="AF68" s="320"/>
      <c r="AG68" s="320"/>
      <c r="AH68" s="320"/>
      <c r="AI68" s="320"/>
      <c r="AJ68" s="320"/>
      <c r="AK68" s="320"/>
      <c r="AL68" s="320"/>
      <c r="AM68" s="320"/>
      <c r="AN68" s="320"/>
      <c r="AO68" s="320"/>
      <c r="AP68" s="320"/>
      <c r="AQ68" s="320"/>
      <c r="AR68" s="320"/>
      <c r="AS68" s="320"/>
      <c r="AT68" s="320"/>
      <c r="AU68" s="320"/>
      <c r="AV68" s="320"/>
      <c r="AW68" s="320"/>
      <c r="AX68" s="320"/>
      <c r="AY68" s="320"/>
      <c r="AZ68" s="320"/>
      <c r="BA68" s="320"/>
      <c r="BB68" s="320"/>
      <c r="BC68" s="320"/>
      <c r="BD68" s="320"/>
      <c r="BE68" s="320"/>
      <c r="BF68" s="320"/>
      <c r="BG68" s="320"/>
      <c r="BH68" s="320"/>
      <c r="BI68" s="320"/>
      <c r="BJ68" s="320"/>
      <c r="BK68" s="320"/>
      <c r="BL68" s="320"/>
      <c r="BM68" s="320"/>
      <c r="BN68" s="320"/>
      <c r="BO68" s="320"/>
      <c r="BP68" s="320"/>
      <c r="BQ68" s="320"/>
      <c r="BR68" s="320"/>
      <c r="BS68" s="320"/>
      <c r="BT68" s="320"/>
      <c r="BU68" s="320"/>
      <c r="BV68" s="320"/>
      <c r="BW68" s="320"/>
    </row>
    <row r="69" spans="1:75" s="325" customFormat="1" ht="29.45" customHeight="1">
      <c r="A69" s="320"/>
      <c r="B69" s="5"/>
      <c r="C69" s="274"/>
      <c r="D69" s="270"/>
      <c r="E69" s="566"/>
      <c r="F69" s="567"/>
      <c r="G69" s="567"/>
      <c r="H69" s="567"/>
      <c r="I69" s="422"/>
      <c r="J69" s="422"/>
      <c r="K69" s="423"/>
      <c r="L69" s="475"/>
      <c r="M69" s="476"/>
      <c r="N69" s="477"/>
      <c r="O69" s="669"/>
      <c r="P69" s="670"/>
      <c r="Q69" s="424"/>
      <c r="R69" s="428" t="str">
        <f t="shared" ca="1" si="3"/>
        <v/>
      </c>
      <c r="S69" s="45"/>
      <c r="T69" s="505"/>
      <c r="U69" s="323"/>
      <c r="V69" s="5"/>
      <c r="W69" s="320"/>
      <c r="X69" s="320"/>
      <c r="Y69" s="320"/>
      <c r="Z69" s="320"/>
      <c r="AA69" s="320"/>
      <c r="AB69" s="320"/>
      <c r="AC69" s="320"/>
      <c r="AD69" s="320"/>
      <c r="AE69" s="320"/>
      <c r="AF69" s="320"/>
      <c r="AG69" s="320"/>
      <c r="AH69" s="320"/>
      <c r="AI69" s="320"/>
      <c r="AJ69" s="320"/>
      <c r="AK69" s="320"/>
      <c r="AL69" s="320"/>
      <c r="AM69" s="320"/>
      <c r="AN69" s="320"/>
      <c r="AO69" s="320"/>
      <c r="AP69" s="320"/>
      <c r="AQ69" s="320"/>
      <c r="AR69" s="320"/>
      <c r="AS69" s="320"/>
      <c r="AT69" s="320"/>
      <c r="AU69" s="320"/>
      <c r="AV69" s="320"/>
      <c r="AW69" s="320"/>
      <c r="AX69" s="320"/>
      <c r="AY69" s="320"/>
      <c r="AZ69" s="320"/>
      <c r="BA69" s="320"/>
      <c r="BB69" s="320"/>
      <c r="BC69" s="320"/>
      <c r="BD69" s="320"/>
      <c r="BE69" s="320"/>
      <c r="BF69" s="320"/>
      <c r="BG69" s="320"/>
      <c r="BH69" s="320"/>
      <c r="BI69" s="320"/>
      <c r="BJ69" s="320"/>
      <c r="BK69" s="320"/>
      <c r="BL69" s="320"/>
      <c r="BM69" s="320"/>
      <c r="BN69" s="320"/>
      <c r="BO69" s="320"/>
      <c r="BP69" s="320"/>
      <c r="BQ69" s="320"/>
      <c r="BR69" s="320"/>
      <c r="BS69" s="320"/>
      <c r="BT69" s="320"/>
      <c r="BU69" s="320"/>
      <c r="BV69" s="320"/>
      <c r="BW69" s="320"/>
    </row>
    <row r="70" spans="1:75" s="325" customFormat="1" ht="29.45" customHeight="1">
      <c r="A70" s="320"/>
      <c r="B70" s="5"/>
      <c r="C70" s="274"/>
      <c r="D70" s="270"/>
      <c r="E70" s="566"/>
      <c r="F70" s="567"/>
      <c r="G70" s="567"/>
      <c r="H70" s="567"/>
      <c r="I70" s="422"/>
      <c r="J70" s="422"/>
      <c r="K70" s="423"/>
      <c r="L70" s="475"/>
      <c r="M70" s="476"/>
      <c r="N70" s="477"/>
      <c r="O70" s="669"/>
      <c r="P70" s="670"/>
      <c r="Q70" s="424"/>
      <c r="R70" s="428" t="str">
        <f t="shared" ca="1" si="3"/>
        <v/>
      </c>
      <c r="S70" s="45"/>
      <c r="T70" s="505"/>
      <c r="U70" s="323"/>
      <c r="V70" s="5"/>
      <c r="W70" s="320"/>
      <c r="X70" s="320"/>
      <c r="Y70" s="320"/>
      <c r="Z70" s="320"/>
      <c r="AA70" s="320"/>
      <c r="AB70" s="320"/>
      <c r="AC70" s="320"/>
      <c r="AD70" s="320"/>
      <c r="AE70" s="320"/>
      <c r="AF70" s="320"/>
      <c r="AG70" s="320"/>
      <c r="AH70" s="320"/>
      <c r="AI70" s="320"/>
      <c r="AJ70" s="320"/>
      <c r="AK70" s="320"/>
      <c r="AL70" s="320"/>
      <c r="AM70" s="320"/>
      <c r="AN70" s="320"/>
      <c r="AO70" s="320"/>
      <c r="AP70" s="320"/>
      <c r="AQ70" s="320"/>
      <c r="AR70" s="320"/>
      <c r="AS70" s="320"/>
      <c r="AT70" s="320"/>
      <c r="AU70" s="320"/>
      <c r="AV70" s="320"/>
      <c r="AW70" s="320"/>
      <c r="AX70" s="320"/>
      <c r="AY70" s="320"/>
      <c r="AZ70" s="320"/>
      <c r="BA70" s="320"/>
      <c r="BB70" s="320"/>
      <c r="BC70" s="320"/>
      <c r="BD70" s="320"/>
      <c r="BE70" s="320"/>
      <c r="BF70" s="320"/>
      <c r="BG70" s="320"/>
      <c r="BH70" s="320"/>
      <c r="BI70" s="320"/>
      <c r="BJ70" s="320"/>
      <c r="BK70" s="320"/>
      <c r="BL70" s="320"/>
      <c r="BM70" s="320"/>
      <c r="BN70" s="320"/>
      <c r="BO70" s="320"/>
      <c r="BP70" s="320"/>
      <c r="BQ70" s="320"/>
      <c r="BR70" s="320"/>
      <c r="BS70" s="320"/>
      <c r="BT70" s="320"/>
      <c r="BU70" s="320"/>
      <c r="BV70" s="320"/>
      <c r="BW70" s="320"/>
    </row>
    <row r="71" spans="1:75" s="325" customFormat="1" ht="29.45" customHeight="1">
      <c r="A71" s="320"/>
      <c r="B71" s="5"/>
      <c r="C71" s="274"/>
      <c r="D71" s="270"/>
      <c r="E71" s="566"/>
      <c r="F71" s="567"/>
      <c r="G71" s="567"/>
      <c r="H71" s="567"/>
      <c r="I71" s="422"/>
      <c r="J71" s="422"/>
      <c r="K71" s="423"/>
      <c r="L71" s="475"/>
      <c r="M71" s="476"/>
      <c r="N71" s="477"/>
      <c r="O71" s="669"/>
      <c r="P71" s="670"/>
      <c r="Q71" s="424"/>
      <c r="R71" s="428" t="str">
        <f t="shared" ca="1" si="3"/>
        <v/>
      </c>
      <c r="S71" s="45"/>
      <c r="T71" s="505"/>
      <c r="U71" s="323"/>
      <c r="V71" s="5"/>
      <c r="W71" s="320"/>
      <c r="X71" s="320"/>
      <c r="Y71" s="320"/>
      <c r="Z71" s="320"/>
      <c r="AA71" s="320"/>
      <c r="AB71" s="320"/>
      <c r="AC71" s="320"/>
      <c r="AD71" s="320"/>
      <c r="AE71" s="320"/>
      <c r="AF71" s="320"/>
      <c r="AG71" s="320"/>
      <c r="AH71" s="320"/>
      <c r="AI71" s="320"/>
      <c r="AJ71" s="320"/>
      <c r="AK71" s="320"/>
      <c r="AL71" s="320"/>
      <c r="AM71" s="320"/>
      <c r="AN71" s="320"/>
      <c r="AO71" s="320"/>
      <c r="AP71" s="320"/>
      <c r="AQ71" s="320"/>
      <c r="AR71" s="320"/>
      <c r="AS71" s="320"/>
      <c r="AT71" s="320"/>
      <c r="AU71" s="320"/>
      <c r="AV71" s="320"/>
      <c r="AW71" s="320"/>
      <c r="AX71" s="320"/>
      <c r="AY71" s="320"/>
      <c r="AZ71" s="320"/>
      <c r="BA71" s="320"/>
      <c r="BB71" s="320"/>
      <c r="BC71" s="320"/>
      <c r="BD71" s="320"/>
      <c r="BE71" s="320"/>
      <c r="BF71" s="320"/>
      <c r="BG71" s="320"/>
      <c r="BH71" s="320"/>
      <c r="BI71" s="320"/>
      <c r="BJ71" s="320"/>
      <c r="BK71" s="320"/>
      <c r="BL71" s="320"/>
      <c r="BM71" s="320"/>
      <c r="BN71" s="320"/>
      <c r="BO71" s="320"/>
      <c r="BP71" s="320"/>
      <c r="BQ71" s="320"/>
      <c r="BR71" s="320"/>
      <c r="BS71" s="320"/>
      <c r="BT71" s="320"/>
      <c r="BU71" s="320"/>
      <c r="BV71" s="320"/>
      <c r="BW71" s="320"/>
    </row>
    <row r="72" spans="1:75" s="325" customFormat="1" ht="29.45" customHeight="1">
      <c r="A72" s="320"/>
      <c r="B72" s="5"/>
      <c r="C72" s="274"/>
      <c r="D72" s="270"/>
      <c r="E72" s="566"/>
      <c r="F72" s="567"/>
      <c r="G72" s="567"/>
      <c r="H72" s="567"/>
      <c r="I72" s="422"/>
      <c r="J72" s="422"/>
      <c r="K72" s="423"/>
      <c r="L72" s="475"/>
      <c r="M72" s="476"/>
      <c r="N72" s="477"/>
      <c r="O72" s="669"/>
      <c r="P72" s="670"/>
      <c r="Q72" s="424"/>
      <c r="R72" s="428" t="str">
        <f t="shared" ca="1" si="3"/>
        <v/>
      </c>
      <c r="S72" s="45"/>
      <c r="T72" s="505"/>
      <c r="U72" s="323"/>
      <c r="V72" s="5"/>
      <c r="W72" s="320"/>
      <c r="X72" s="320"/>
      <c r="Y72" s="320"/>
      <c r="Z72" s="320"/>
      <c r="AA72" s="320"/>
      <c r="AB72" s="320"/>
      <c r="AC72" s="320"/>
      <c r="AD72" s="320"/>
      <c r="AE72" s="320"/>
      <c r="AF72" s="320"/>
      <c r="AG72" s="320"/>
      <c r="AH72" s="320"/>
      <c r="AI72" s="320"/>
      <c r="AJ72" s="320"/>
      <c r="AK72" s="320"/>
      <c r="AL72" s="320"/>
      <c r="AM72" s="320"/>
      <c r="AN72" s="320"/>
      <c r="AO72" s="320"/>
      <c r="AP72" s="320"/>
      <c r="AQ72" s="320"/>
      <c r="AR72" s="320"/>
      <c r="AS72" s="320"/>
      <c r="AT72" s="320"/>
      <c r="AU72" s="320"/>
      <c r="AV72" s="320"/>
      <c r="AW72" s="320"/>
      <c r="AX72" s="320"/>
      <c r="AY72" s="320"/>
      <c r="AZ72" s="320"/>
      <c r="BA72" s="320"/>
      <c r="BB72" s="320"/>
      <c r="BC72" s="320"/>
      <c r="BD72" s="320"/>
      <c r="BE72" s="320"/>
      <c r="BF72" s="320"/>
      <c r="BG72" s="320"/>
      <c r="BH72" s="320"/>
      <c r="BI72" s="320"/>
      <c r="BJ72" s="320"/>
      <c r="BK72" s="320"/>
      <c r="BL72" s="320"/>
      <c r="BM72" s="320"/>
      <c r="BN72" s="320"/>
      <c r="BO72" s="320"/>
      <c r="BP72" s="320"/>
      <c r="BQ72" s="320"/>
      <c r="BR72" s="320"/>
      <c r="BS72" s="320"/>
      <c r="BT72" s="320"/>
      <c r="BU72" s="320"/>
      <c r="BV72" s="320"/>
      <c r="BW72" s="320"/>
    </row>
    <row r="73" spans="1:75" s="325" customFormat="1" ht="29.45" customHeight="1">
      <c r="A73" s="320"/>
      <c r="B73" s="5"/>
      <c r="C73" s="274"/>
      <c r="D73" s="270"/>
      <c r="E73" s="566"/>
      <c r="F73" s="567"/>
      <c r="G73" s="567"/>
      <c r="H73" s="567"/>
      <c r="I73" s="422"/>
      <c r="J73" s="422"/>
      <c r="K73" s="423"/>
      <c r="L73" s="475"/>
      <c r="M73" s="476"/>
      <c r="N73" s="477"/>
      <c r="O73" s="669"/>
      <c r="P73" s="670"/>
      <c r="Q73" s="424"/>
      <c r="R73" s="428" t="str">
        <f t="shared" ca="1" si="3"/>
        <v/>
      </c>
      <c r="S73" s="45"/>
      <c r="T73" s="505"/>
      <c r="U73" s="323"/>
      <c r="V73" s="5"/>
      <c r="W73" s="320"/>
      <c r="X73" s="320"/>
      <c r="Y73" s="320"/>
      <c r="Z73" s="320"/>
      <c r="AA73" s="320"/>
      <c r="AB73" s="320"/>
      <c r="AC73" s="320"/>
      <c r="AD73" s="320"/>
      <c r="AE73" s="320"/>
      <c r="AF73" s="320"/>
      <c r="AG73" s="320"/>
      <c r="AH73" s="320"/>
      <c r="AI73" s="320"/>
      <c r="AJ73" s="320"/>
      <c r="AK73" s="320"/>
      <c r="AL73" s="320"/>
      <c r="AM73" s="320"/>
      <c r="AN73" s="320"/>
      <c r="AO73" s="320"/>
      <c r="AP73" s="320"/>
      <c r="AQ73" s="320"/>
      <c r="AR73" s="320"/>
      <c r="AS73" s="320"/>
      <c r="AT73" s="320"/>
      <c r="AU73" s="320"/>
      <c r="AV73" s="320"/>
      <c r="AW73" s="320"/>
      <c r="AX73" s="320"/>
      <c r="AY73" s="320"/>
      <c r="AZ73" s="320"/>
      <c r="BA73" s="320"/>
      <c r="BB73" s="320"/>
      <c r="BC73" s="320"/>
      <c r="BD73" s="320"/>
      <c r="BE73" s="320"/>
      <c r="BF73" s="320"/>
      <c r="BG73" s="320"/>
      <c r="BH73" s="320"/>
      <c r="BI73" s="320"/>
      <c r="BJ73" s="320"/>
      <c r="BK73" s="320"/>
      <c r="BL73" s="320"/>
      <c r="BM73" s="320"/>
      <c r="BN73" s="320"/>
      <c r="BO73" s="320"/>
      <c r="BP73" s="320"/>
      <c r="BQ73" s="320"/>
      <c r="BR73" s="320"/>
      <c r="BS73" s="320"/>
      <c r="BT73" s="320"/>
      <c r="BU73" s="320"/>
      <c r="BV73" s="320"/>
      <c r="BW73" s="320"/>
    </row>
    <row r="74" spans="1:75" s="325" customFormat="1" ht="29.45" customHeight="1">
      <c r="A74" s="320"/>
      <c r="B74" s="5"/>
      <c r="C74" s="274"/>
      <c r="D74" s="270"/>
      <c r="E74" s="566"/>
      <c r="F74" s="567"/>
      <c r="G74" s="567"/>
      <c r="H74" s="567"/>
      <c r="I74" s="422"/>
      <c r="J74" s="422"/>
      <c r="K74" s="423"/>
      <c r="L74" s="475"/>
      <c r="M74" s="476"/>
      <c r="N74" s="477"/>
      <c r="O74" s="669"/>
      <c r="P74" s="670"/>
      <c r="Q74" s="424"/>
      <c r="R74" s="428" t="str">
        <f t="shared" ca="1" si="3"/>
        <v/>
      </c>
      <c r="S74" s="45"/>
      <c r="T74" s="505"/>
      <c r="U74" s="323"/>
      <c r="V74" s="5"/>
      <c r="W74" s="320"/>
      <c r="X74" s="320"/>
      <c r="Y74" s="320"/>
      <c r="Z74" s="320"/>
      <c r="AA74" s="320"/>
      <c r="AB74" s="320"/>
      <c r="AC74" s="320"/>
      <c r="AD74" s="320"/>
      <c r="AE74" s="320"/>
      <c r="AF74" s="320"/>
      <c r="AG74" s="320"/>
      <c r="AH74" s="320"/>
      <c r="AI74" s="320"/>
      <c r="AJ74" s="320"/>
      <c r="AK74" s="320"/>
      <c r="AL74" s="320"/>
      <c r="AM74" s="320"/>
      <c r="AN74" s="320"/>
      <c r="AO74" s="320"/>
      <c r="AP74" s="320"/>
      <c r="AQ74" s="320"/>
      <c r="AR74" s="320"/>
      <c r="AS74" s="320"/>
      <c r="AT74" s="320"/>
      <c r="AU74" s="320"/>
      <c r="AV74" s="320"/>
      <c r="AW74" s="320"/>
      <c r="AX74" s="320"/>
      <c r="AY74" s="320"/>
      <c r="AZ74" s="320"/>
      <c r="BA74" s="320"/>
      <c r="BB74" s="320"/>
      <c r="BC74" s="320"/>
      <c r="BD74" s="320"/>
      <c r="BE74" s="320"/>
      <c r="BF74" s="320"/>
      <c r="BG74" s="320"/>
      <c r="BH74" s="320"/>
      <c r="BI74" s="320"/>
      <c r="BJ74" s="320"/>
      <c r="BK74" s="320"/>
      <c r="BL74" s="320"/>
      <c r="BM74" s="320"/>
      <c r="BN74" s="320"/>
      <c r="BO74" s="320"/>
      <c r="BP74" s="320"/>
      <c r="BQ74" s="320"/>
      <c r="BR74" s="320"/>
      <c r="BS74" s="320"/>
      <c r="BT74" s="320"/>
      <c r="BU74" s="320"/>
      <c r="BV74" s="320"/>
      <c r="BW74" s="320"/>
    </row>
    <row r="75" spans="1:75" s="325" customFormat="1" ht="29.45" customHeight="1">
      <c r="A75" s="320"/>
      <c r="B75" s="5"/>
      <c r="C75" s="274"/>
      <c r="D75" s="270"/>
      <c r="E75" s="566"/>
      <c r="F75" s="567"/>
      <c r="G75" s="567"/>
      <c r="H75" s="567"/>
      <c r="I75" s="422"/>
      <c r="J75" s="422"/>
      <c r="K75" s="423"/>
      <c r="L75" s="475"/>
      <c r="M75" s="476"/>
      <c r="N75" s="477"/>
      <c r="O75" s="669"/>
      <c r="P75" s="670"/>
      <c r="Q75" s="424"/>
      <c r="R75" s="428" t="str">
        <f t="shared" ca="1" si="3"/>
        <v/>
      </c>
      <c r="S75" s="45"/>
      <c r="T75" s="505"/>
      <c r="U75" s="323"/>
      <c r="V75" s="5"/>
      <c r="W75" s="320"/>
      <c r="X75" s="320"/>
      <c r="Y75" s="320"/>
      <c r="Z75" s="320"/>
      <c r="AA75" s="320"/>
      <c r="AB75" s="320"/>
      <c r="AC75" s="320"/>
      <c r="AD75" s="320"/>
      <c r="AE75" s="320"/>
      <c r="AF75" s="320"/>
      <c r="AG75" s="320"/>
      <c r="AH75" s="320"/>
      <c r="AI75" s="320"/>
      <c r="AJ75" s="320"/>
      <c r="AK75" s="320"/>
      <c r="AL75" s="320"/>
      <c r="AM75" s="320"/>
      <c r="AN75" s="320"/>
      <c r="AO75" s="320"/>
      <c r="AP75" s="320"/>
      <c r="AQ75" s="320"/>
      <c r="AR75" s="320"/>
      <c r="AS75" s="320"/>
      <c r="AT75" s="320"/>
      <c r="AU75" s="320"/>
      <c r="AV75" s="320"/>
      <c r="AW75" s="320"/>
      <c r="AX75" s="320"/>
      <c r="AY75" s="320"/>
      <c r="AZ75" s="320"/>
      <c r="BA75" s="320"/>
      <c r="BB75" s="320"/>
      <c r="BC75" s="320"/>
      <c r="BD75" s="320"/>
      <c r="BE75" s="320"/>
      <c r="BF75" s="320"/>
      <c r="BG75" s="320"/>
      <c r="BH75" s="320"/>
      <c r="BI75" s="320"/>
      <c r="BJ75" s="320"/>
      <c r="BK75" s="320"/>
      <c r="BL75" s="320"/>
      <c r="BM75" s="320"/>
      <c r="BN75" s="320"/>
      <c r="BO75" s="320"/>
      <c r="BP75" s="320"/>
      <c r="BQ75" s="320"/>
      <c r="BR75" s="320"/>
      <c r="BS75" s="320"/>
      <c r="BT75" s="320"/>
      <c r="BU75" s="320"/>
      <c r="BV75" s="320"/>
      <c r="BW75" s="320"/>
    </row>
    <row r="76" spans="1:75" s="325" customFormat="1" ht="29.45" customHeight="1">
      <c r="A76" s="320"/>
      <c r="B76" s="5"/>
      <c r="C76" s="274"/>
      <c r="D76" s="270"/>
      <c r="E76" s="566"/>
      <c r="F76" s="567"/>
      <c r="G76" s="567"/>
      <c r="H76" s="567"/>
      <c r="I76" s="422"/>
      <c r="J76" s="422"/>
      <c r="K76" s="423"/>
      <c r="L76" s="475"/>
      <c r="M76" s="476"/>
      <c r="N76" s="477"/>
      <c r="O76" s="669"/>
      <c r="P76" s="670"/>
      <c r="Q76" s="424"/>
      <c r="R76" s="428" t="str">
        <f t="shared" ca="1" si="3"/>
        <v/>
      </c>
      <c r="S76" s="45"/>
      <c r="T76" s="505"/>
      <c r="U76" s="323"/>
      <c r="V76" s="5"/>
      <c r="W76" s="320"/>
      <c r="X76" s="320"/>
      <c r="Y76" s="320"/>
      <c r="Z76" s="320"/>
      <c r="AA76" s="320"/>
      <c r="AB76" s="320"/>
      <c r="AC76" s="320"/>
      <c r="AD76" s="320"/>
      <c r="AE76" s="320"/>
      <c r="AF76" s="320"/>
      <c r="AG76" s="320"/>
      <c r="AH76" s="320"/>
      <c r="AI76" s="320"/>
      <c r="AJ76" s="320"/>
      <c r="AK76" s="320"/>
      <c r="AL76" s="320"/>
      <c r="AM76" s="320"/>
      <c r="AN76" s="320"/>
      <c r="AO76" s="320"/>
      <c r="AP76" s="320"/>
      <c r="AQ76" s="320"/>
      <c r="AR76" s="320"/>
      <c r="AS76" s="320"/>
      <c r="AT76" s="320"/>
      <c r="AU76" s="320"/>
      <c r="AV76" s="320"/>
      <c r="AW76" s="320"/>
      <c r="AX76" s="320"/>
      <c r="AY76" s="320"/>
      <c r="AZ76" s="320"/>
      <c r="BA76" s="320"/>
      <c r="BB76" s="320"/>
      <c r="BC76" s="320"/>
      <c r="BD76" s="320"/>
      <c r="BE76" s="320"/>
      <c r="BF76" s="320"/>
      <c r="BG76" s="320"/>
      <c r="BH76" s="320"/>
      <c r="BI76" s="320"/>
      <c r="BJ76" s="320"/>
      <c r="BK76" s="320"/>
      <c r="BL76" s="320"/>
      <c r="BM76" s="320"/>
      <c r="BN76" s="320"/>
      <c r="BO76" s="320"/>
      <c r="BP76" s="320"/>
      <c r="BQ76" s="320"/>
      <c r="BR76" s="320"/>
      <c r="BS76" s="320"/>
      <c r="BT76" s="320"/>
      <c r="BU76" s="320"/>
      <c r="BV76" s="320"/>
      <c r="BW76" s="320"/>
    </row>
    <row r="77" spans="1:75" s="325" customFormat="1" ht="10.7" customHeight="1" thickBot="1">
      <c r="A77" s="320"/>
      <c r="B77" s="5"/>
      <c r="C77" s="274"/>
      <c r="D77" s="270"/>
      <c r="E77" s="291"/>
      <c r="F77" s="291"/>
      <c r="G77" s="291"/>
      <c r="H77" s="291"/>
      <c r="I77" s="420"/>
      <c r="J77" s="366"/>
      <c r="K77" s="331"/>
      <c r="L77" s="364"/>
      <c r="M77" s="292"/>
      <c r="N77" s="292"/>
      <c r="O77" s="292"/>
      <c r="P77" s="292"/>
      <c r="Q77" s="331"/>
      <c r="R77" s="421"/>
      <c r="S77" s="45"/>
      <c r="T77" s="505"/>
      <c r="U77" s="323"/>
      <c r="V77" s="5"/>
      <c r="W77" s="320"/>
      <c r="X77" s="320"/>
      <c r="Y77" s="320"/>
      <c r="Z77" s="320"/>
      <c r="AA77" s="320"/>
      <c r="AB77" s="320"/>
      <c r="AC77" s="320"/>
      <c r="AD77" s="320"/>
      <c r="AE77" s="320"/>
      <c r="AF77" s="320"/>
      <c r="AG77" s="320"/>
      <c r="AH77" s="320"/>
      <c r="AI77" s="320"/>
      <c r="AJ77" s="320"/>
      <c r="AK77" s="320"/>
      <c r="AL77" s="320"/>
      <c r="AM77" s="320"/>
      <c r="AN77" s="320"/>
      <c r="AO77" s="320"/>
      <c r="AP77" s="320"/>
      <c r="AQ77" s="320"/>
      <c r="AR77" s="320"/>
      <c r="AS77" s="320"/>
      <c r="AT77" s="320"/>
      <c r="AU77" s="320"/>
      <c r="AV77" s="320"/>
      <c r="AW77" s="320"/>
      <c r="AX77" s="320"/>
      <c r="AY77" s="320"/>
      <c r="AZ77" s="320"/>
      <c r="BA77" s="320"/>
      <c r="BB77" s="320"/>
      <c r="BC77" s="320"/>
      <c r="BD77" s="320"/>
      <c r="BE77" s="320"/>
      <c r="BF77" s="320"/>
      <c r="BG77" s="320"/>
      <c r="BH77" s="320"/>
      <c r="BI77" s="320"/>
      <c r="BJ77" s="320"/>
      <c r="BK77" s="320"/>
      <c r="BL77" s="320"/>
      <c r="BM77" s="320"/>
      <c r="BN77" s="320"/>
      <c r="BO77" s="320"/>
      <c r="BP77" s="320"/>
      <c r="BQ77" s="320"/>
      <c r="BR77" s="320"/>
      <c r="BS77" s="320"/>
      <c r="BT77" s="320"/>
      <c r="BU77" s="320"/>
      <c r="BV77" s="320"/>
      <c r="BW77" s="320"/>
    </row>
    <row r="78" spans="1:75" ht="34.700000000000003" customHeight="1" thickBot="1">
      <c r="A78" s="45"/>
      <c r="B78" s="5"/>
      <c r="C78" s="274"/>
      <c r="D78" s="270"/>
      <c r="E78" s="518" t="s">
        <v>68</v>
      </c>
      <c r="F78" s="519"/>
      <c r="G78" s="519"/>
      <c r="H78" s="519"/>
      <c r="I78" s="519"/>
      <c r="J78" s="519"/>
      <c r="K78" s="519"/>
      <c r="L78" s="519"/>
      <c r="M78" s="519"/>
      <c r="N78" s="519"/>
      <c r="O78" s="519"/>
      <c r="P78" s="519"/>
      <c r="Q78" s="519"/>
      <c r="R78" s="520"/>
      <c r="S78" s="302"/>
      <c r="T78" s="505"/>
      <c r="U78" s="275"/>
      <c r="V78" s="5"/>
      <c r="W78" s="45"/>
      <c r="X78" s="45"/>
      <c r="Y78" s="45"/>
    </row>
    <row r="79" spans="1:75" ht="2.4500000000000002" customHeight="1" thickBot="1">
      <c r="A79" s="45"/>
      <c r="B79" s="5"/>
      <c r="C79" s="274"/>
      <c r="D79" s="270"/>
      <c r="E79" s="595"/>
      <c r="F79" s="510"/>
      <c r="G79" s="510"/>
      <c r="H79" s="510"/>
      <c r="I79" s="510"/>
      <c r="J79" s="510"/>
      <c r="K79" s="510"/>
      <c r="L79" s="510"/>
      <c r="M79" s="510"/>
      <c r="N79" s="510"/>
      <c r="O79" s="510"/>
      <c r="P79" s="510"/>
      <c r="Q79" s="510"/>
      <c r="R79" s="596"/>
      <c r="S79" s="302"/>
      <c r="T79" s="505"/>
      <c r="U79" s="275"/>
      <c r="V79" s="5"/>
      <c r="W79" s="45"/>
      <c r="X79" s="45"/>
      <c r="Y79" s="45"/>
    </row>
    <row r="80" spans="1:75" ht="15.2" customHeight="1">
      <c r="A80" s="45"/>
      <c r="B80" s="5"/>
      <c r="C80" s="274"/>
      <c r="D80" s="270"/>
      <c r="E80" s="591" t="s">
        <v>69</v>
      </c>
      <c r="F80" s="573"/>
      <c r="G80" s="573"/>
      <c r="H80" s="573"/>
      <c r="I80" s="573"/>
      <c r="J80" s="573"/>
      <c r="K80" s="579" t="s">
        <v>70</v>
      </c>
      <c r="L80" s="580"/>
      <c r="M80" s="573"/>
      <c r="N80" s="573"/>
      <c r="O80" s="573"/>
      <c r="P80" s="573"/>
      <c r="Q80" s="573"/>
      <c r="R80" s="576"/>
      <c r="S80" s="290"/>
      <c r="T80" s="505"/>
      <c r="U80" s="275"/>
      <c r="V80" s="5"/>
      <c r="W80" s="45"/>
      <c r="X80" s="45"/>
      <c r="Y80" s="45"/>
    </row>
    <row r="81" spans="1:88" ht="19.5" customHeight="1">
      <c r="A81" s="45"/>
      <c r="B81" s="5"/>
      <c r="C81" s="274"/>
      <c r="D81" s="270"/>
      <c r="E81" s="592"/>
      <c r="F81" s="574"/>
      <c r="G81" s="574"/>
      <c r="H81" s="574"/>
      <c r="I81" s="574"/>
      <c r="J81" s="574"/>
      <c r="K81" s="581"/>
      <c r="L81" s="582"/>
      <c r="M81" s="574"/>
      <c r="N81" s="574"/>
      <c r="O81" s="574"/>
      <c r="P81" s="574"/>
      <c r="Q81" s="574"/>
      <c r="R81" s="577"/>
      <c r="S81" s="290"/>
      <c r="T81" s="505"/>
      <c r="U81" s="275"/>
      <c r="V81" s="5"/>
    </row>
    <row r="82" spans="1:88" ht="19.5" customHeight="1">
      <c r="B82" s="227"/>
      <c r="C82" s="274"/>
      <c r="D82" s="270"/>
      <c r="E82" s="592"/>
      <c r="F82" s="574"/>
      <c r="G82" s="574"/>
      <c r="H82" s="574"/>
      <c r="I82" s="574"/>
      <c r="J82" s="574"/>
      <c r="K82" s="581"/>
      <c r="L82" s="582"/>
      <c r="M82" s="574"/>
      <c r="N82" s="574"/>
      <c r="O82" s="574"/>
      <c r="P82" s="574"/>
      <c r="Q82" s="574"/>
      <c r="R82" s="577"/>
      <c r="S82" s="290"/>
      <c r="T82" s="505"/>
      <c r="U82" s="275"/>
      <c r="V82" s="5"/>
    </row>
    <row r="83" spans="1:88" ht="19.5" customHeight="1">
      <c r="B83" s="227"/>
      <c r="C83" s="274"/>
      <c r="D83" s="270"/>
      <c r="E83" s="592"/>
      <c r="F83" s="574"/>
      <c r="G83" s="574"/>
      <c r="H83" s="574"/>
      <c r="I83" s="574"/>
      <c r="J83" s="574"/>
      <c r="K83" s="581"/>
      <c r="L83" s="582"/>
      <c r="M83" s="574"/>
      <c r="N83" s="574"/>
      <c r="O83" s="574"/>
      <c r="P83" s="574"/>
      <c r="Q83" s="574"/>
      <c r="R83" s="577"/>
      <c r="S83" s="290"/>
      <c r="T83" s="505"/>
      <c r="U83" s="275"/>
      <c r="V83" s="5"/>
    </row>
    <row r="84" spans="1:88" ht="19.5" customHeight="1">
      <c r="B84" s="227"/>
      <c r="C84" s="274"/>
      <c r="D84" s="270"/>
      <c r="E84" s="592"/>
      <c r="F84" s="574"/>
      <c r="G84" s="574"/>
      <c r="H84" s="574"/>
      <c r="I84" s="574"/>
      <c r="J84" s="574"/>
      <c r="K84" s="581"/>
      <c r="L84" s="582"/>
      <c r="M84" s="574"/>
      <c r="N84" s="574"/>
      <c r="O84" s="574"/>
      <c r="P84" s="574"/>
      <c r="Q84" s="574"/>
      <c r="R84" s="577"/>
      <c r="S84" s="290"/>
      <c r="T84" s="505"/>
      <c r="U84" s="275"/>
      <c r="V84" s="5"/>
    </row>
    <row r="85" spans="1:88" ht="19.5" customHeight="1">
      <c r="B85" s="227"/>
      <c r="C85" s="274"/>
      <c r="D85" s="270"/>
      <c r="E85" s="592"/>
      <c r="F85" s="574"/>
      <c r="G85" s="574"/>
      <c r="H85" s="574"/>
      <c r="I85" s="574"/>
      <c r="J85" s="574"/>
      <c r="K85" s="581"/>
      <c r="L85" s="582"/>
      <c r="M85" s="574"/>
      <c r="N85" s="574"/>
      <c r="O85" s="574"/>
      <c r="P85" s="574"/>
      <c r="Q85" s="574"/>
      <c r="R85" s="577"/>
      <c r="S85" s="290"/>
      <c r="T85" s="505"/>
      <c r="U85" s="275"/>
      <c r="V85" s="5"/>
      <c r="BR85" s="237"/>
      <c r="BS85" s="45"/>
      <c r="BT85" s="45"/>
      <c r="BU85" s="45"/>
      <c r="BV85" s="237"/>
      <c r="BW85" s="45"/>
      <c r="BX85" s="45"/>
      <c r="BY85" s="45"/>
      <c r="BZ85" s="45"/>
      <c r="CA85" s="237"/>
      <c r="CB85" s="45"/>
      <c r="CC85" s="45"/>
      <c r="CD85" s="45"/>
      <c r="CE85" s="45"/>
      <c r="CF85" s="45"/>
      <c r="CG85" s="45"/>
      <c r="CH85" s="45"/>
      <c r="CI85" s="45"/>
      <c r="CJ85" s="45"/>
    </row>
    <row r="86" spans="1:88" ht="19.5" customHeight="1">
      <c r="B86" s="227"/>
      <c r="C86" s="274"/>
      <c r="D86" s="270"/>
      <c r="E86" s="592"/>
      <c r="F86" s="574"/>
      <c r="G86" s="574"/>
      <c r="H86" s="574"/>
      <c r="I86" s="574"/>
      <c r="J86" s="574"/>
      <c r="K86" s="581"/>
      <c r="L86" s="582"/>
      <c r="M86" s="574"/>
      <c r="N86" s="574"/>
      <c r="O86" s="574"/>
      <c r="P86" s="574"/>
      <c r="Q86" s="574"/>
      <c r="R86" s="577"/>
      <c r="S86" s="290"/>
      <c r="T86" s="505"/>
      <c r="U86" s="275"/>
      <c r="V86" s="5"/>
      <c r="BR86" s="237" t="s">
        <v>71</v>
      </c>
      <c r="BS86" s="45"/>
      <c r="BT86" s="45"/>
      <c r="BU86" s="45"/>
      <c r="BV86" s="237" t="s">
        <v>72</v>
      </c>
      <c r="BW86" s="45"/>
      <c r="BX86" s="230"/>
      <c r="BY86" s="230"/>
      <c r="BZ86" s="230"/>
      <c r="CA86" s="229" t="s">
        <v>72</v>
      </c>
      <c r="CB86" s="230"/>
      <c r="CC86" s="230"/>
      <c r="CD86" s="230"/>
      <c r="CE86" s="230"/>
      <c r="CF86" s="230"/>
      <c r="CG86" s="230"/>
      <c r="CH86" s="8"/>
      <c r="CI86" s="8"/>
      <c r="CJ86" s="45"/>
    </row>
    <row r="87" spans="1:88" ht="19.5" customHeight="1">
      <c r="B87" s="227"/>
      <c r="C87" s="274"/>
      <c r="D87" s="270"/>
      <c r="E87" s="592"/>
      <c r="F87" s="574"/>
      <c r="G87" s="574"/>
      <c r="H87" s="574"/>
      <c r="I87" s="574"/>
      <c r="J87" s="574"/>
      <c r="K87" s="581"/>
      <c r="L87" s="582"/>
      <c r="M87" s="574"/>
      <c r="N87" s="574"/>
      <c r="O87" s="574"/>
      <c r="P87" s="574"/>
      <c r="Q87" s="574"/>
      <c r="R87" s="577"/>
      <c r="S87" s="290"/>
      <c r="T87" s="505"/>
      <c r="U87" s="275"/>
      <c r="V87" s="5"/>
      <c r="BR87" s="45"/>
      <c r="BS87" s="45"/>
      <c r="BT87" s="45"/>
      <c r="BU87" s="45"/>
      <c r="BV87" s="45"/>
      <c r="BW87" s="389" t="s">
        <v>73</v>
      </c>
      <c r="BX87" s="231" t="s">
        <v>73</v>
      </c>
      <c r="BY87" s="231" t="s">
        <v>73</v>
      </c>
      <c r="BZ87" s="231" t="s">
        <v>73</v>
      </c>
      <c r="CA87" s="8"/>
      <c r="CB87" s="8"/>
      <c r="CC87" s="8"/>
      <c r="CD87" s="8"/>
      <c r="CE87" s="8"/>
      <c r="CF87" s="8"/>
      <c r="CG87" s="8"/>
      <c r="CH87" s="8"/>
      <c r="CI87" s="8"/>
      <c r="CJ87" s="238"/>
    </row>
    <row r="88" spans="1:88" ht="19.5" customHeight="1">
      <c r="B88" s="227"/>
      <c r="C88" s="274"/>
      <c r="D88" s="270"/>
      <c r="E88" s="592"/>
      <c r="F88" s="574"/>
      <c r="G88" s="574"/>
      <c r="H88" s="574"/>
      <c r="I88" s="574"/>
      <c r="J88" s="574"/>
      <c r="K88" s="581"/>
      <c r="L88" s="582"/>
      <c r="M88" s="574"/>
      <c r="N88" s="574"/>
      <c r="O88" s="574"/>
      <c r="P88" s="574"/>
      <c r="Q88" s="574"/>
      <c r="R88" s="577"/>
      <c r="S88" s="290"/>
      <c r="T88" s="505"/>
      <c r="U88" s="275"/>
      <c r="V88" s="5"/>
      <c r="BR88" s="390" t="s">
        <v>74</v>
      </c>
      <c r="BS88" s="390" t="s">
        <v>75</v>
      </c>
      <c r="BT88" s="390" t="s">
        <v>76</v>
      </c>
      <c r="BU88" s="390" t="s">
        <v>77</v>
      </c>
      <c r="BV88" s="390" t="s">
        <v>78</v>
      </c>
      <c r="BW88" s="238" t="s">
        <v>79</v>
      </c>
      <c r="BX88" s="232" t="s">
        <v>80</v>
      </c>
      <c r="BY88" s="232" t="s">
        <v>81</v>
      </c>
      <c r="BZ88" s="232" t="s">
        <v>82</v>
      </c>
      <c r="CA88" s="232" t="s">
        <v>83</v>
      </c>
      <c r="CB88" s="232" t="s">
        <v>84</v>
      </c>
      <c r="CC88" s="232" t="s">
        <v>85</v>
      </c>
      <c r="CD88" s="232" t="s">
        <v>86</v>
      </c>
      <c r="CE88" s="232" t="s">
        <v>87</v>
      </c>
      <c r="CF88" s="232" t="s">
        <v>88</v>
      </c>
      <c r="CG88" s="232" t="s">
        <v>89</v>
      </c>
      <c r="CH88" s="232" t="s">
        <v>90</v>
      </c>
      <c r="CI88" s="232" t="s">
        <v>91</v>
      </c>
      <c r="CJ88" s="245"/>
    </row>
    <row r="89" spans="1:88" ht="19.5" customHeight="1">
      <c r="B89" s="227"/>
      <c r="C89" s="274"/>
      <c r="D89" s="270"/>
      <c r="E89" s="592"/>
      <c r="F89" s="574"/>
      <c r="G89" s="574"/>
      <c r="H89" s="574"/>
      <c r="I89" s="574"/>
      <c r="J89" s="574"/>
      <c r="K89" s="581"/>
      <c r="L89" s="582"/>
      <c r="M89" s="574"/>
      <c r="N89" s="574"/>
      <c r="O89" s="574"/>
      <c r="P89" s="574"/>
      <c r="Q89" s="574"/>
      <c r="R89" s="577"/>
      <c r="S89" s="290"/>
      <c r="T89" s="505"/>
      <c r="U89" s="275"/>
      <c r="V89" s="5"/>
      <c r="BR89" s="233" t="e">
        <f>IF(OR(#REF!="",#REF!=""),"N/A",#REF!-#REF!)</f>
        <v>#REF!</v>
      </c>
      <c r="BS89" s="234" t="str">
        <f ca="1">IFERROR(IF(#REF!="","N/A",IF(#REF!="",TODAY()-#REF!,#REF!-#REF!)),"?")</f>
        <v>?</v>
      </c>
      <c r="BT89" s="234" t="str">
        <f>IFERROR(IF(#REF!="","N/A",IF(#REF!="","",BS89-BR89)),"?")</f>
        <v>?</v>
      </c>
      <c r="BU89" s="235" t="str">
        <f>IFERROR(IF(#REF!="","N/A",(IF(BT89="N/A","N/A",IF((BT89/BR89)&lt;0,0,BT89/BR89)))),"?")</f>
        <v>?</v>
      </c>
      <c r="BV89" s="234">
        <f>COUNT(#REF!)</f>
        <v>0</v>
      </c>
      <c r="BW89" s="234" t="e">
        <f>COUNTIFS(#REF!,"&lt;&gt;",#REF!,"&lt;&gt;",#REF!,"=100%")</f>
        <v>#REF!</v>
      </c>
      <c r="BX89" s="234" t="e">
        <f ca="1">COUNTIFS(#REF!,"&lt;&gt;",#REF!,"&lt;100%",#REF!,"&gt;0%",#REF!,"&gt;="&amp;TODAY())</f>
        <v>#REF!</v>
      </c>
      <c r="BY89" s="234" t="e">
        <f ca="1">COUNTIFS(#REF!,"&lt;&gt;",#REF!,"&lt;100%",#REF!,"&lt;"&amp;TODAY())</f>
        <v>#REF!</v>
      </c>
      <c r="BZ89" s="234" t="e">
        <f ca="1">COUNTIFS(#REF!,"&lt;&gt;",#REF!,"=0%",#REF!,"&gt;"&amp;TODAY())</f>
        <v>#REF!</v>
      </c>
      <c r="CA89" s="234" t="e">
        <f>COUNTIFS('Fill out report  تعبئة التقرير'!#REF!,"&lt;&gt;",'Fill out report  تعبئة التقرير'!#REF!,"&lt;&gt;0")</f>
        <v>#REF!</v>
      </c>
      <c r="CB89" s="234" t="e">
        <f>COUNTIFS('Fill out report  تعبئة التقرير'!#REF!,"&lt;&gt;",'Fill out report  تعبئة التقرير'!#REF!,"&gt;=13")</f>
        <v>#REF!</v>
      </c>
      <c r="CC89" s="234" t="e">
        <f>COUNTIFS('Fill out report  تعبئة التقرير'!#REF!,"&lt;&gt;",'Fill out report  تعبئة التقرير'!#REF!,"&gt;4")-COUNTIFS('Fill out report  تعبئة التقرير'!#REF!,"&lt;&gt;",'Fill out report  تعبئة التقرير'!#REF!,"&gt;=13")</f>
        <v>#REF!</v>
      </c>
      <c r="CD89" s="234" t="e">
        <f>COUNTIFS('Fill out report  تعبئة التقرير'!#REF!,"&lt;&gt;",'Fill out report  تعبئة التقرير'!#REF!,"&gt;0")-COUNTIFS('Fill out report  تعبئة التقرير'!#REF!,"&lt;&gt;",'Fill out report  تعبئة التقرير'!#REF!,"&gt;4")</f>
        <v>#REF!</v>
      </c>
      <c r="CE89" s="234">
        <f>COUNTIFS('Fill out report  تعبئة التقرير'!$G13:$G27,"&lt;&gt;",'Fill out report  تعبئة التقرير'!$F13:$F27,"&lt;&gt;0")</f>
        <v>4</v>
      </c>
      <c r="CF89" s="234">
        <f>COUNTIFS('Fill out report  تعبئة التقرير'!$G13:$G27,"&lt;&gt;",'Fill out report  تعبئة التقرير'!$F13:$F27,"=3")</f>
        <v>4</v>
      </c>
      <c r="CG89" s="234">
        <f>COUNTIFS('Fill out report  تعبئة التقرير'!$G13:$G27,"&lt;&gt;",'Fill out report  تعبئة التقرير'!$F13:$F27,"=2")</f>
        <v>0</v>
      </c>
      <c r="CH89" s="234">
        <f>COUNTIFS('Fill out report  تعبئة التقرير'!$G13:$G27,"&lt;&gt;",'Fill out report  تعبئة التقرير'!$F13:$F27,"=1")</f>
        <v>0</v>
      </c>
      <c r="CI89" s="236" t="e">
        <f>#REF!-#REF!</f>
        <v>#REF!</v>
      </c>
      <c r="CJ89" s="320"/>
    </row>
    <row r="90" spans="1:88" ht="19.5" customHeight="1" thickBot="1">
      <c r="B90" s="227"/>
      <c r="C90" s="274"/>
      <c r="D90" s="270"/>
      <c r="E90" s="593"/>
      <c r="F90" s="575"/>
      <c r="G90" s="575"/>
      <c r="H90" s="575"/>
      <c r="I90" s="575"/>
      <c r="J90" s="575"/>
      <c r="K90" s="583"/>
      <c r="L90" s="584"/>
      <c r="M90" s="575"/>
      <c r="N90" s="575"/>
      <c r="O90" s="575"/>
      <c r="P90" s="575"/>
      <c r="Q90" s="575"/>
      <c r="R90" s="578"/>
      <c r="S90" s="290"/>
      <c r="T90" s="505"/>
      <c r="U90" s="275"/>
      <c r="V90" s="5"/>
      <c r="BR90" s="38"/>
      <c r="BS90" s="243"/>
      <c r="BT90" s="243"/>
      <c r="BU90" s="244"/>
      <c r="BV90" s="243"/>
      <c r="BW90" s="243"/>
      <c r="BX90" s="243"/>
      <c r="BY90" s="243"/>
      <c r="BZ90" s="243"/>
      <c r="CA90" s="243"/>
      <c r="CB90" s="243"/>
      <c r="CC90" s="243"/>
      <c r="CD90" s="243"/>
      <c r="CE90" s="243"/>
      <c r="CF90" s="243"/>
      <c r="CG90" s="243"/>
      <c r="CH90" s="243"/>
      <c r="CI90" s="245"/>
    </row>
    <row r="91" spans="1:88" ht="12" customHeight="1">
      <c r="B91" s="227"/>
      <c r="C91" s="274"/>
      <c r="D91" s="270"/>
      <c r="E91" s="594"/>
      <c r="F91" s="594"/>
      <c r="G91" s="594"/>
      <c r="H91" s="594"/>
      <c r="I91" s="594"/>
      <c r="J91" s="594"/>
      <c r="K91" s="594"/>
      <c r="L91" s="594"/>
      <c r="M91" s="594"/>
      <c r="N91" s="594"/>
      <c r="O91" s="594"/>
      <c r="P91" s="594"/>
      <c r="Q91" s="594"/>
      <c r="R91" s="594"/>
      <c r="S91" s="290"/>
      <c r="T91" s="505"/>
      <c r="U91" s="275"/>
      <c r="V91" s="5"/>
      <c r="BR91" s="38"/>
      <c r="BS91" s="243"/>
      <c r="BT91" s="243"/>
      <c r="BU91" s="244"/>
      <c r="BV91" s="243"/>
      <c r="BW91" s="243"/>
      <c r="BX91" s="243"/>
      <c r="BY91" s="243"/>
      <c r="BZ91" s="243"/>
      <c r="CA91" s="243"/>
      <c r="CB91" s="243"/>
      <c r="CC91" s="243"/>
      <c r="CD91" s="243"/>
      <c r="CE91" s="243"/>
      <c r="CF91" s="243"/>
      <c r="CG91" s="243"/>
      <c r="CH91" s="243"/>
      <c r="CI91" s="245"/>
    </row>
    <row r="92" spans="1:88" s="8" customFormat="1" ht="36.75" customHeight="1" thickBot="1">
      <c r="A92" s="45"/>
      <c r="B92" s="228"/>
      <c r="C92" s="308"/>
      <c r="D92" s="270"/>
      <c r="E92" s="551" t="s">
        <v>92</v>
      </c>
      <c r="F92" s="552"/>
      <c r="G92" s="552"/>
      <c r="H92" s="552"/>
      <c r="I92" s="552"/>
      <c r="J92" s="552"/>
      <c r="K92" s="552"/>
      <c r="L92" s="552"/>
      <c r="M92" s="552"/>
      <c r="N92" s="552"/>
      <c r="O92" s="552"/>
      <c r="P92" s="552"/>
      <c r="Q92" s="552"/>
      <c r="R92" s="553"/>
      <c r="S92" s="302"/>
      <c r="T92" s="505"/>
      <c r="U92" s="275"/>
      <c r="V92" s="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320"/>
      <c r="AJ92" s="320"/>
      <c r="AK92" s="320"/>
      <c r="AL92" s="320"/>
      <c r="AM92" s="320"/>
      <c r="AN92" s="320"/>
      <c r="AO92" s="320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239"/>
      <c r="BR92" s="45"/>
      <c r="BS92" s="45"/>
      <c r="BT92" s="45"/>
      <c r="BU92" s="45"/>
      <c r="BV92" s="45"/>
      <c r="BW92" s="45"/>
    </row>
    <row r="93" spans="1:88" s="8" customFormat="1" ht="3" customHeight="1" thickBot="1">
      <c r="A93" s="45"/>
      <c r="B93" s="228"/>
      <c r="C93" s="308"/>
      <c r="D93" s="270"/>
      <c r="E93" s="510"/>
      <c r="F93" s="510"/>
      <c r="G93" s="510"/>
      <c r="H93" s="510"/>
      <c r="I93" s="510"/>
      <c r="J93" s="510"/>
      <c r="K93" s="510"/>
      <c r="L93" s="510"/>
      <c r="M93" s="510"/>
      <c r="N93" s="510"/>
      <c r="O93" s="510"/>
      <c r="P93" s="510"/>
      <c r="Q93" s="510"/>
      <c r="R93" s="510"/>
      <c r="S93" s="302"/>
      <c r="T93" s="505"/>
      <c r="U93" s="275"/>
      <c r="V93" s="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320"/>
      <c r="AJ93" s="320"/>
      <c r="AK93" s="320"/>
      <c r="AL93" s="320"/>
      <c r="AM93" s="320"/>
      <c r="AN93" s="320"/>
      <c r="AO93" s="320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239"/>
      <c r="BR93" s="45"/>
      <c r="BS93" s="45"/>
      <c r="BT93" s="45"/>
      <c r="BU93" s="45"/>
      <c r="BV93" s="45"/>
      <c r="BW93" s="45"/>
    </row>
    <row r="94" spans="1:88" s="8" customFormat="1" ht="13.7" customHeight="1">
      <c r="A94" s="45"/>
      <c r="B94" s="227"/>
      <c r="C94" s="274"/>
      <c r="D94" s="270"/>
      <c r="E94" s="585" t="s">
        <v>93</v>
      </c>
      <c r="F94" s="586"/>
      <c r="G94" s="541"/>
      <c r="H94" s="542"/>
      <c r="I94" s="542"/>
      <c r="J94" s="542"/>
      <c r="K94" s="542"/>
      <c r="L94" s="542"/>
      <c r="M94" s="542"/>
      <c r="N94" s="542"/>
      <c r="O94" s="671" t="s">
        <v>94</v>
      </c>
      <c r="P94" s="671"/>
      <c r="Q94" s="673"/>
      <c r="R94" s="674"/>
      <c r="S94" s="332"/>
      <c r="T94" s="505"/>
      <c r="U94" s="275"/>
      <c r="V94" s="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320"/>
      <c r="AJ94" s="320"/>
      <c r="AK94" s="320"/>
      <c r="AL94" s="320"/>
      <c r="AM94" s="320"/>
      <c r="AN94" s="320"/>
      <c r="AO94" s="320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239"/>
      <c r="BR94" s="45"/>
      <c r="BS94" s="45"/>
      <c r="BT94" s="45"/>
      <c r="BU94" s="45"/>
      <c r="BV94" s="45"/>
      <c r="BW94" s="45"/>
    </row>
    <row r="95" spans="1:88" s="8" customFormat="1" ht="30" customHeight="1">
      <c r="A95" s="45"/>
      <c r="B95" s="227"/>
      <c r="C95" s="274"/>
      <c r="D95" s="270"/>
      <c r="E95" s="587"/>
      <c r="F95" s="588"/>
      <c r="G95" s="543"/>
      <c r="H95" s="544"/>
      <c r="I95" s="544"/>
      <c r="J95" s="544"/>
      <c r="K95" s="544"/>
      <c r="L95" s="544"/>
      <c r="M95" s="544"/>
      <c r="N95" s="544"/>
      <c r="O95" s="672"/>
      <c r="P95" s="672"/>
      <c r="Q95" s="675"/>
      <c r="R95" s="676"/>
      <c r="S95" s="332"/>
      <c r="T95" s="505"/>
      <c r="U95" s="275"/>
      <c r="V95" s="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320"/>
      <c r="AJ95" s="320"/>
      <c r="AK95" s="320"/>
      <c r="AL95" s="320"/>
      <c r="AM95" s="320"/>
      <c r="AN95" s="320"/>
      <c r="AO95" s="320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239"/>
      <c r="BR95" s="45"/>
      <c r="BS95" s="45"/>
      <c r="BT95" s="45"/>
      <c r="BU95" s="45"/>
      <c r="BV95" s="45"/>
      <c r="BW95" s="45"/>
    </row>
    <row r="96" spans="1:88" s="8" customFormat="1" ht="23.1" customHeight="1">
      <c r="A96" s="45"/>
      <c r="B96" s="227"/>
      <c r="C96" s="274"/>
      <c r="D96" s="270"/>
      <c r="E96" s="587"/>
      <c r="F96" s="588"/>
      <c r="G96" s="543"/>
      <c r="H96" s="544"/>
      <c r="I96" s="544"/>
      <c r="J96" s="544"/>
      <c r="K96" s="544"/>
      <c r="L96" s="544"/>
      <c r="M96" s="544"/>
      <c r="N96" s="544"/>
      <c r="O96" s="677" t="s">
        <v>95</v>
      </c>
      <c r="P96" s="677"/>
      <c r="Q96" s="678"/>
      <c r="R96" s="679"/>
      <c r="S96" s="294"/>
      <c r="T96" s="505"/>
      <c r="U96" s="275"/>
      <c r="V96" s="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320"/>
      <c r="AJ96" s="320"/>
      <c r="AK96" s="320"/>
      <c r="AL96" s="320"/>
      <c r="AM96" s="320"/>
      <c r="AN96" s="320"/>
      <c r="AO96" s="320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239"/>
      <c r="BR96" s="45"/>
      <c r="BS96" s="45"/>
      <c r="BT96" s="45"/>
      <c r="BU96" s="45"/>
      <c r="BV96" s="45"/>
      <c r="BW96" s="45"/>
    </row>
    <row r="97" spans="1:75" s="8" customFormat="1" ht="14.25" customHeight="1">
      <c r="A97" s="45"/>
      <c r="B97" s="227"/>
      <c r="C97" s="274"/>
      <c r="D97" s="270"/>
      <c r="E97" s="587"/>
      <c r="F97" s="588"/>
      <c r="G97" s="543"/>
      <c r="H97" s="544"/>
      <c r="I97" s="544"/>
      <c r="J97" s="544"/>
      <c r="K97" s="544"/>
      <c r="L97" s="544"/>
      <c r="M97" s="544"/>
      <c r="N97" s="544"/>
      <c r="O97" s="672"/>
      <c r="P97" s="672"/>
      <c r="Q97" s="680"/>
      <c r="R97" s="681"/>
      <c r="S97" s="294"/>
      <c r="T97" s="505"/>
      <c r="U97" s="275"/>
      <c r="V97" s="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320"/>
      <c r="AJ97" s="320"/>
      <c r="AK97" s="320"/>
      <c r="AL97" s="320"/>
      <c r="AM97" s="320"/>
      <c r="AN97" s="320"/>
      <c r="AO97" s="320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239"/>
      <c r="BR97" s="45"/>
      <c r="BS97" s="45"/>
      <c r="BT97" s="45"/>
      <c r="BU97" s="45"/>
      <c r="BV97" s="45"/>
      <c r="BW97" s="45"/>
    </row>
    <row r="98" spans="1:75" s="8" customFormat="1" ht="37.35" customHeight="1" thickBot="1">
      <c r="A98" s="45"/>
      <c r="B98" s="227"/>
      <c r="C98" s="274"/>
      <c r="D98" s="270"/>
      <c r="E98" s="589" t="str">
        <f>" [300 char max] [ " &amp; LEN(G94)&amp; " char typed ]"</f>
        <v xml:space="preserve"> [300 char max] [ 0 char typed ]</v>
      </c>
      <c r="F98" s="590"/>
      <c r="G98" s="545"/>
      <c r="H98" s="546"/>
      <c r="I98" s="546"/>
      <c r="J98" s="546"/>
      <c r="K98" s="546"/>
      <c r="L98" s="546"/>
      <c r="M98" s="546"/>
      <c r="N98" s="546"/>
      <c r="O98" s="682" t="s">
        <v>96</v>
      </c>
      <c r="P98" s="682"/>
      <c r="Q98" s="683"/>
      <c r="R98" s="684"/>
      <c r="S98" s="294"/>
      <c r="T98" s="505"/>
      <c r="U98" s="275"/>
      <c r="V98" s="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320"/>
      <c r="AJ98" s="320"/>
      <c r="AK98" s="320"/>
      <c r="AL98" s="320"/>
      <c r="AM98" s="320"/>
      <c r="AN98" s="320"/>
      <c r="AO98" s="320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239"/>
      <c r="BR98" s="45"/>
      <c r="BS98" s="45"/>
      <c r="BT98" s="45"/>
      <c r="BU98" s="45"/>
      <c r="BV98" s="45"/>
      <c r="BW98" s="45"/>
    </row>
    <row r="99" spans="1:75" s="8" customFormat="1" ht="11.45" customHeight="1">
      <c r="A99" s="45"/>
      <c r="B99" s="227"/>
      <c r="C99" s="274"/>
      <c r="D99" s="270"/>
      <c r="E99" s="272"/>
      <c r="F99" s="80"/>
      <c r="G99" s="309"/>
      <c r="H99" s="283"/>
      <c r="I99" s="283"/>
      <c r="J99" s="283"/>
      <c r="K99" s="283"/>
      <c r="L99" s="283"/>
      <c r="M99" s="283"/>
      <c r="N99" s="283"/>
      <c r="O99" s="283"/>
      <c r="P99" s="283"/>
      <c r="Q99" s="283"/>
      <c r="R99" s="283"/>
      <c r="S99" s="283"/>
      <c r="T99" s="505"/>
      <c r="V99" s="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239"/>
      <c r="BR99" s="45"/>
      <c r="BS99" s="45"/>
      <c r="BT99" s="45"/>
      <c r="BU99" s="45"/>
      <c r="BV99" s="45"/>
      <c r="BW99" s="45"/>
    </row>
    <row r="100" spans="1:75" s="8" customFormat="1" ht="6.2" customHeight="1" thickBot="1">
      <c r="A100" s="45"/>
      <c r="B100" s="227"/>
      <c r="C100" s="274"/>
      <c r="D100" s="270"/>
      <c r="E100" s="17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265"/>
      <c r="S100" s="293"/>
      <c r="T100" s="505"/>
      <c r="V100" s="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239"/>
      <c r="BR100" s="45"/>
      <c r="BS100" s="45"/>
      <c r="BT100" s="45"/>
      <c r="BU100" s="45"/>
      <c r="BV100" s="45"/>
      <c r="BW100" s="45"/>
    </row>
    <row r="101" spans="1:75" s="8" customFormat="1" ht="30.2" customHeight="1" thickBot="1">
      <c r="A101" s="45"/>
      <c r="B101" s="227"/>
      <c r="C101" s="274"/>
      <c r="D101" s="270"/>
      <c r="E101" s="333" t="s">
        <v>97</v>
      </c>
      <c r="F101" s="334">
        <f>MAX(AN104:AN113)</f>
        <v>0</v>
      </c>
      <c r="G101" s="554" t="str">
        <f>LOOKUP(F101, {0,1,7,10}, {"لا يوجد مخاطر  [No Risks]","يوجد مخاطر منخفضة  [Low Risks]","يوجد مخاطر متوسطة  [Medium Risks]","يوجد مخاطر عالية  [High Risks]"})</f>
        <v>لا يوجد مخاطر  [No Risks]</v>
      </c>
      <c r="H101" s="555"/>
      <c r="I101" s="556"/>
      <c r="J101" s="335"/>
      <c r="K101" s="216"/>
      <c r="L101" s="216"/>
      <c r="M101" s="23"/>
      <c r="N101" s="23"/>
      <c r="O101" s="23"/>
      <c r="P101" s="23"/>
      <c r="Q101" s="23"/>
      <c r="R101" s="23"/>
      <c r="S101" s="295"/>
      <c r="T101" s="505"/>
      <c r="V101" s="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391" t="s">
        <v>98</v>
      </c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239"/>
      <c r="BR101" s="45"/>
      <c r="BS101" s="45"/>
      <c r="BT101" s="45"/>
      <c r="BU101" s="45"/>
      <c r="BV101" s="45"/>
      <c r="BW101" s="45"/>
    </row>
    <row r="102" spans="1:75" s="8" customFormat="1" ht="2.4500000000000002" customHeight="1" thickBot="1">
      <c r="A102" s="45"/>
      <c r="B102" s="227"/>
      <c r="C102" s="274"/>
      <c r="D102" s="270"/>
      <c r="E102" s="17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22"/>
      <c r="Q102" s="22"/>
      <c r="R102" s="266"/>
      <c r="S102" s="296"/>
      <c r="T102" s="505"/>
      <c r="V102" s="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239"/>
      <c r="BR102" s="45"/>
      <c r="BS102" s="45"/>
      <c r="BT102" s="45"/>
      <c r="BU102" s="45"/>
      <c r="BV102" s="45"/>
      <c r="BW102" s="45"/>
    </row>
    <row r="103" spans="1:75" s="8" customFormat="1" ht="30.95" customHeight="1">
      <c r="A103" s="45"/>
      <c r="B103" s="227"/>
      <c r="C103" s="274"/>
      <c r="D103" s="270"/>
      <c r="E103" s="310"/>
      <c r="F103" s="311"/>
      <c r="G103" s="506" t="s">
        <v>99</v>
      </c>
      <c r="H103" s="507"/>
      <c r="I103" s="507"/>
      <c r="J103" s="507"/>
      <c r="K103" s="336" t="s">
        <v>100</v>
      </c>
      <c r="L103" s="336" t="s">
        <v>101</v>
      </c>
      <c r="M103" s="568" t="s">
        <v>102</v>
      </c>
      <c r="N103" s="497"/>
      <c r="O103" s="497"/>
      <c r="P103" s="497"/>
      <c r="Q103" s="497"/>
      <c r="R103" s="569"/>
      <c r="S103" s="297"/>
      <c r="T103" s="505"/>
      <c r="V103" s="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392" t="s">
        <v>103</v>
      </c>
      <c r="AM103" s="393" t="s">
        <v>104</v>
      </c>
      <c r="AN103" s="394" t="s">
        <v>12</v>
      </c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239"/>
      <c r="BR103" s="45"/>
      <c r="BS103" s="45"/>
      <c r="BT103" s="45"/>
      <c r="BU103" s="45"/>
      <c r="BV103" s="45"/>
      <c r="BW103" s="45"/>
    </row>
    <row r="104" spans="1:75" s="8" customFormat="1" ht="32.25" customHeight="1">
      <c r="A104" s="45"/>
      <c r="B104" s="227"/>
      <c r="C104" s="274"/>
      <c r="D104" s="270"/>
      <c r="E104" s="651" t="s">
        <v>105</v>
      </c>
      <c r="F104" s="280">
        <f>list!C26</f>
        <v>0</v>
      </c>
      <c r="G104" s="484"/>
      <c r="H104" s="484"/>
      <c r="I104" s="484"/>
      <c r="J104" s="484"/>
      <c r="K104" s="343"/>
      <c r="L104" s="370"/>
      <c r="M104" s="491"/>
      <c r="N104" s="492"/>
      <c r="O104" s="492"/>
      <c r="P104" s="492"/>
      <c r="Q104" s="492"/>
      <c r="R104" s="493"/>
      <c r="S104" s="298"/>
      <c r="T104" s="505"/>
      <c r="V104" s="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395">
        <f t="shared" ref="AL104:AL113" si="4">(IF(K104="&gt; 75%",5,
(IF(K104="50% - 75%",4,
(IF(K104="20% - 50%",3,
(IF(K104="5% - 20%",2,
(IF(K104="&lt; 5%",1,0))))))))))</f>
        <v>0</v>
      </c>
      <c r="AM104" s="395"/>
      <c r="AN104" s="396" t="str">
        <f t="shared" ref="AN104:AN113" si="5">IF(G104&lt;&gt;"",F104,"")</f>
        <v/>
      </c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239"/>
      <c r="BR104" s="45"/>
      <c r="BS104" s="45"/>
      <c r="BT104" s="45"/>
      <c r="BU104" s="45"/>
      <c r="BV104" s="45"/>
      <c r="BW104" s="45"/>
    </row>
    <row r="105" spans="1:75" s="8" customFormat="1" ht="41.1" customHeight="1">
      <c r="A105" s="45"/>
      <c r="B105" s="227"/>
      <c r="C105" s="274"/>
      <c r="D105" s="270"/>
      <c r="E105" s="652"/>
      <c r="F105" s="280">
        <f>list!C27</f>
        <v>0</v>
      </c>
      <c r="G105" s="521"/>
      <c r="H105" s="522"/>
      <c r="I105" s="522"/>
      <c r="J105" s="523"/>
      <c r="K105" s="343"/>
      <c r="L105" s="372"/>
      <c r="M105" s="491"/>
      <c r="N105" s="492"/>
      <c r="O105" s="492"/>
      <c r="P105" s="492"/>
      <c r="Q105" s="492"/>
      <c r="R105" s="493"/>
      <c r="S105" s="298"/>
      <c r="T105" s="505"/>
      <c r="V105" s="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395">
        <f t="shared" si="4"/>
        <v>0</v>
      </c>
      <c r="AM105" s="397"/>
      <c r="AN105" s="396" t="str">
        <f t="shared" si="5"/>
        <v/>
      </c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239"/>
      <c r="BR105" s="45"/>
      <c r="BS105" s="45"/>
      <c r="BT105" s="45"/>
      <c r="BU105" s="45"/>
      <c r="BV105" s="45"/>
      <c r="BW105" s="45"/>
    </row>
    <row r="106" spans="1:75" s="8" customFormat="1" ht="28.35" customHeight="1">
      <c r="A106" s="45"/>
      <c r="B106" s="227"/>
      <c r="C106" s="274"/>
      <c r="D106" s="270"/>
      <c r="E106" s="652"/>
      <c r="F106" s="280">
        <f>list!C28</f>
        <v>0</v>
      </c>
      <c r="G106" s="521"/>
      <c r="H106" s="522"/>
      <c r="I106" s="522"/>
      <c r="J106" s="523"/>
      <c r="K106" s="343"/>
      <c r="L106" s="372"/>
      <c r="M106" s="491"/>
      <c r="N106" s="492"/>
      <c r="O106" s="492"/>
      <c r="P106" s="492"/>
      <c r="Q106" s="492"/>
      <c r="R106" s="493"/>
      <c r="S106" s="298"/>
      <c r="T106" s="505"/>
      <c r="V106" s="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395">
        <f t="shared" si="4"/>
        <v>0</v>
      </c>
      <c r="AM106" s="397"/>
      <c r="AN106" s="396" t="str">
        <f t="shared" si="5"/>
        <v/>
      </c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239"/>
      <c r="BR106" s="45"/>
      <c r="BS106" s="45"/>
      <c r="BT106" s="45"/>
      <c r="BU106" s="45"/>
      <c r="BV106" s="45"/>
      <c r="BW106" s="45"/>
    </row>
    <row r="107" spans="1:75" s="8" customFormat="1" ht="20.45" customHeight="1">
      <c r="A107" s="45"/>
      <c r="B107" s="227"/>
      <c r="C107" s="274"/>
      <c r="D107" s="270"/>
      <c r="E107" s="652"/>
      <c r="F107" s="280">
        <f>list!C29</f>
        <v>0</v>
      </c>
      <c r="G107" s="484"/>
      <c r="H107" s="484"/>
      <c r="I107" s="484"/>
      <c r="J107" s="484"/>
      <c r="K107" s="343"/>
      <c r="L107" s="373"/>
      <c r="M107" s="491"/>
      <c r="N107" s="492"/>
      <c r="O107" s="492"/>
      <c r="P107" s="492"/>
      <c r="Q107" s="492"/>
      <c r="R107" s="493"/>
      <c r="S107" s="298"/>
      <c r="T107" s="505"/>
      <c r="V107" s="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395">
        <f t="shared" si="4"/>
        <v>0</v>
      </c>
      <c r="AM107" s="397"/>
      <c r="AN107" s="396" t="str">
        <f t="shared" si="5"/>
        <v/>
      </c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239"/>
      <c r="BR107" s="45"/>
      <c r="BS107" s="45"/>
      <c r="BT107" s="45"/>
      <c r="BU107" s="45"/>
      <c r="BV107" s="45"/>
      <c r="BW107" s="45"/>
    </row>
    <row r="108" spans="1:75" s="8" customFormat="1" ht="20.45" customHeight="1">
      <c r="A108" s="45"/>
      <c r="B108" s="227"/>
      <c r="C108" s="274"/>
      <c r="D108" s="270"/>
      <c r="E108" s="652"/>
      <c r="F108" s="280">
        <f>list!C30</f>
        <v>0</v>
      </c>
      <c r="G108" s="484"/>
      <c r="H108" s="484"/>
      <c r="I108" s="484"/>
      <c r="J108" s="484"/>
      <c r="K108" s="343"/>
      <c r="L108" s="373"/>
      <c r="M108" s="491"/>
      <c r="N108" s="492"/>
      <c r="O108" s="492"/>
      <c r="P108" s="492"/>
      <c r="Q108" s="492"/>
      <c r="R108" s="493"/>
      <c r="S108" s="298"/>
      <c r="T108" s="505"/>
      <c r="V108" s="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395">
        <f t="shared" si="4"/>
        <v>0</v>
      </c>
      <c r="AM108" s="397"/>
      <c r="AN108" s="396" t="str">
        <f t="shared" si="5"/>
        <v/>
      </c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239"/>
      <c r="BR108" s="45"/>
      <c r="BS108" s="45"/>
      <c r="BT108" s="45"/>
      <c r="BU108" s="45"/>
      <c r="BV108" s="45"/>
      <c r="BW108" s="45"/>
    </row>
    <row r="109" spans="1:75" s="8" customFormat="1" ht="23.25" hidden="1" customHeight="1">
      <c r="A109" s="45"/>
      <c r="B109" s="227"/>
      <c r="C109" s="274"/>
      <c r="D109" s="270"/>
      <c r="E109" s="652"/>
      <c r="F109" s="280">
        <f>list!C31</f>
        <v>0</v>
      </c>
      <c r="G109" s="484"/>
      <c r="H109" s="484"/>
      <c r="I109" s="484"/>
      <c r="J109" s="484"/>
      <c r="K109" s="343"/>
      <c r="L109" s="373"/>
      <c r="M109" s="491"/>
      <c r="N109" s="492"/>
      <c r="O109" s="492"/>
      <c r="P109" s="492"/>
      <c r="Q109" s="492"/>
      <c r="R109" s="493"/>
      <c r="S109" s="298"/>
      <c r="T109" s="505"/>
      <c r="V109" s="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395">
        <f t="shared" si="4"/>
        <v>0</v>
      </c>
      <c r="AM109" s="397">
        <f t="shared" ref="AM109:AM113" si="6">(IF(L109="Severe",5,
(IF(L109="Major",4,
(IF(L109="Moderate",3,
(IF(L109="Marginal",2,
(IF(L109="Negligible",1,0))))))))))</f>
        <v>0</v>
      </c>
      <c r="AN109" s="396" t="str">
        <f t="shared" si="5"/>
        <v/>
      </c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239"/>
      <c r="BR109" s="45"/>
      <c r="BS109" s="45"/>
      <c r="BT109" s="45"/>
      <c r="BU109" s="45"/>
      <c r="BV109" s="45"/>
      <c r="BW109" s="45"/>
    </row>
    <row r="110" spans="1:75" s="8" customFormat="1" ht="23.25" hidden="1" customHeight="1">
      <c r="A110" s="45"/>
      <c r="B110" s="227"/>
      <c r="C110" s="274"/>
      <c r="D110" s="270"/>
      <c r="E110" s="652"/>
      <c r="F110" s="280">
        <f>list!C32</f>
        <v>0</v>
      </c>
      <c r="G110" s="484"/>
      <c r="H110" s="484"/>
      <c r="I110" s="484"/>
      <c r="J110" s="484"/>
      <c r="K110" s="343"/>
      <c r="L110" s="371"/>
      <c r="M110" s="491"/>
      <c r="N110" s="492"/>
      <c r="O110" s="492"/>
      <c r="P110" s="492"/>
      <c r="Q110" s="492"/>
      <c r="R110" s="493"/>
      <c r="S110" s="298"/>
      <c r="T110" s="505"/>
      <c r="V110" s="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395">
        <f t="shared" si="4"/>
        <v>0</v>
      </c>
      <c r="AM110" s="397">
        <f t="shared" si="6"/>
        <v>0</v>
      </c>
      <c r="AN110" s="396" t="str">
        <f t="shared" si="5"/>
        <v/>
      </c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239"/>
      <c r="BR110" s="45"/>
      <c r="BS110" s="45"/>
      <c r="BT110" s="45"/>
      <c r="BU110" s="45"/>
      <c r="BV110" s="45"/>
      <c r="BW110" s="45"/>
    </row>
    <row r="111" spans="1:75" s="8" customFormat="1" ht="23.25" hidden="1" customHeight="1">
      <c r="A111" s="45"/>
      <c r="B111" s="227"/>
      <c r="C111" s="274"/>
      <c r="D111" s="270"/>
      <c r="E111" s="652"/>
      <c r="F111" s="280">
        <f>list!C33</f>
        <v>0</v>
      </c>
      <c r="G111" s="484"/>
      <c r="H111" s="484"/>
      <c r="I111" s="484"/>
      <c r="J111" s="484"/>
      <c r="K111" s="343"/>
      <c r="L111" s="373"/>
      <c r="M111" s="491"/>
      <c r="N111" s="492"/>
      <c r="O111" s="492"/>
      <c r="P111" s="492"/>
      <c r="Q111" s="492"/>
      <c r="R111" s="493"/>
      <c r="S111" s="298"/>
      <c r="T111" s="505"/>
      <c r="V111" s="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395">
        <f t="shared" si="4"/>
        <v>0</v>
      </c>
      <c r="AM111" s="397">
        <f t="shared" si="6"/>
        <v>0</v>
      </c>
      <c r="AN111" s="396" t="str">
        <f t="shared" si="5"/>
        <v/>
      </c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239"/>
      <c r="BR111" s="45"/>
      <c r="BS111" s="45"/>
      <c r="BT111" s="45"/>
      <c r="BU111" s="45"/>
      <c r="BV111" s="45"/>
      <c r="BW111" s="45"/>
    </row>
    <row r="112" spans="1:75" s="8" customFormat="1" ht="23.25" hidden="1" customHeight="1">
      <c r="A112" s="45"/>
      <c r="B112" s="227"/>
      <c r="C112" s="274"/>
      <c r="D112" s="270"/>
      <c r="E112" s="652"/>
      <c r="F112" s="280">
        <f>list!C34</f>
        <v>0</v>
      </c>
      <c r="G112" s="484"/>
      <c r="H112" s="484"/>
      <c r="I112" s="484"/>
      <c r="J112" s="484"/>
      <c r="K112" s="343"/>
      <c r="L112" s="371"/>
      <c r="M112" s="491"/>
      <c r="N112" s="492"/>
      <c r="O112" s="492"/>
      <c r="P112" s="492"/>
      <c r="Q112" s="492"/>
      <c r="R112" s="493"/>
      <c r="S112" s="298"/>
      <c r="T112" s="505"/>
      <c r="V112" s="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395">
        <f t="shared" si="4"/>
        <v>0</v>
      </c>
      <c r="AM112" s="397">
        <f t="shared" si="6"/>
        <v>0</v>
      </c>
      <c r="AN112" s="396" t="str">
        <f t="shared" si="5"/>
        <v/>
      </c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  <c r="BQ112" s="239"/>
      <c r="BR112" s="45"/>
      <c r="BS112" s="45"/>
      <c r="BT112" s="45"/>
      <c r="BU112" s="45"/>
      <c r="BV112" s="45"/>
      <c r="BW112" s="45"/>
    </row>
    <row r="113" spans="1:75" s="8" customFormat="1" ht="23.25" hidden="1" customHeight="1" thickBot="1">
      <c r="A113" s="45"/>
      <c r="B113" s="227"/>
      <c r="C113" s="274"/>
      <c r="D113" s="270"/>
      <c r="E113" s="653"/>
      <c r="F113" s="312">
        <f>list!C35</f>
        <v>0</v>
      </c>
      <c r="G113" s="485"/>
      <c r="H113" s="485"/>
      <c r="I113" s="485"/>
      <c r="J113" s="485"/>
      <c r="K113" s="344"/>
      <c r="L113" s="374"/>
      <c r="M113" s="658"/>
      <c r="N113" s="659"/>
      <c r="O113" s="659"/>
      <c r="P113" s="659"/>
      <c r="Q113" s="659"/>
      <c r="R113" s="660"/>
      <c r="S113" s="298"/>
      <c r="T113" s="505"/>
      <c r="V113" s="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395">
        <f t="shared" si="4"/>
        <v>0</v>
      </c>
      <c r="AM113" s="397">
        <f t="shared" si="6"/>
        <v>0</v>
      </c>
      <c r="AN113" s="398" t="str">
        <f t="shared" si="5"/>
        <v/>
      </c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239"/>
      <c r="BR113" s="45"/>
      <c r="BS113" s="45"/>
      <c r="BT113" s="45"/>
      <c r="BU113" s="45"/>
      <c r="BV113" s="45"/>
      <c r="BW113" s="45"/>
    </row>
    <row r="114" spans="1:75" s="8" customFormat="1" ht="12" customHeight="1">
      <c r="A114" s="45"/>
      <c r="B114" s="227"/>
      <c r="C114" s="274"/>
      <c r="D114" s="270"/>
      <c r="E114" s="273"/>
      <c r="F114" s="80"/>
      <c r="G114" s="284"/>
      <c r="H114" s="284"/>
      <c r="I114" s="284"/>
      <c r="J114" s="284"/>
      <c r="K114" s="285"/>
      <c r="L114" s="286"/>
      <c r="M114" s="286"/>
      <c r="N114" s="287"/>
      <c r="O114" s="288"/>
      <c r="P114" s="288"/>
      <c r="Q114" s="288"/>
      <c r="R114" s="288"/>
      <c r="S114" s="298"/>
      <c r="T114" s="505"/>
      <c r="V114" s="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399"/>
      <c r="AM114" s="399"/>
      <c r="AN114" s="239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239"/>
      <c r="BR114" s="45"/>
      <c r="BS114" s="45"/>
      <c r="BT114" s="45"/>
      <c r="BU114" s="45"/>
      <c r="BV114" s="45"/>
      <c r="BW114" s="45"/>
    </row>
    <row r="115" spans="1:75" s="8" customFormat="1" ht="3.95" customHeight="1">
      <c r="A115" s="45"/>
      <c r="B115" s="227"/>
      <c r="C115" s="274"/>
      <c r="D115" s="270"/>
      <c r="E115" s="496"/>
      <c r="F115" s="496"/>
      <c r="G115" s="496"/>
      <c r="H115" s="496"/>
      <c r="I115" s="496"/>
      <c r="J115" s="496"/>
      <c r="K115" s="496"/>
      <c r="L115" s="496"/>
      <c r="M115" s="496"/>
      <c r="N115" s="496"/>
      <c r="O115" s="496"/>
      <c r="P115" s="496"/>
      <c r="Q115" s="496"/>
      <c r="R115" s="496"/>
      <c r="S115" s="299"/>
      <c r="T115" s="505"/>
      <c r="V115" s="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239"/>
      <c r="BR115" s="45"/>
      <c r="BS115" s="45"/>
      <c r="BT115" s="45"/>
      <c r="BU115" s="45"/>
      <c r="BV115" s="45"/>
      <c r="BW115" s="45"/>
    </row>
    <row r="116" spans="1:75" s="8" customFormat="1" ht="9.1999999999999993" customHeight="1" thickBot="1">
      <c r="A116" s="45"/>
      <c r="B116" s="227"/>
      <c r="C116" s="274"/>
      <c r="D116" s="270"/>
      <c r="E116" s="267"/>
      <c r="F116" s="267"/>
      <c r="G116" s="267"/>
      <c r="H116" s="267"/>
      <c r="I116" s="267"/>
      <c r="J116" s="267"/>
      <c r="K116" s="267"/>
      <c r="L116" s="267"/>
      <c r="M116" s="267"/>
      <c r="N116" s="267"/>
      <c r="O116" s="267"/>
      <c r="P116" s="267"/>
      <c r="Q116" s="267"/>
      <c r="R116" s="267"/>
      <c r="S116" s="299"/>
      <c r="T116" s="505"/>
      <c r="V116" s="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239"/>
      <c r="BR116" s="45"/>
      <c r="BS116" s="45"/>
      <c r="BT116" s="45"/>
      <c r="BU116" s="45"/>
      <c r="BV116" s="45"/>
      <c r="BW116" s="45"/>
    </row>
    <row r="117" spans="1:75" s="8" customFormat="1" ht="28.35" customHeight="1" thickBot="1">
      <c r="A117" s="45"/>
      <c r="B117" s="227"/>
      <c r="C117" s="274"/>
      <c r="D117" s="270"/>
      <c r="E117" s="337" t="s">
        <v>106</v>
      </c>
      <c r="F117" s="319">
        <f>MAX(AN120:AN129)</f>
        <v>0</v>
      </c>
      <c r="G117" s="501" t="str">
        <f>LOOKUP(F117, {0,1,2,3}, {"لا يوجد معوقات  [No Issues]"," معوقات منخفضة  [Low Issues]","معوقات متوسطة  [Medium Issues]","معوقات عالية  [High Issues]"})</f>
        <v>لا يوجد معوقات  [No Issues]</v>
      </c>
      <c r="H117" s="502"/>
      <c r="I117" s="503"/>
      <c r="J117" s="338"/>
      <c r="K117" s="216"/>
      <c r="L117" s="216"/>
      <c r="M117" s="23"/>
      <c r="N117" s="23"/>
      <c r="O117" s="23"/>
      <c r="P117" s="23"/>
      <c r="Q117" s="23"/>
      <c r="R117" s="23"/>
      <c r="S117" s="295"/>
      <c r="T117" s="505"/>
      <c r="V117" s="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391" t="s">
        <v>98</v>
      </c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239"/>
      <c r="BR117" s="45"/>
      <c r="BS117" s="45"/>
      <c r="BT117" s="45"/>
      <c r="BU117" s="45"/>
      <c r="BV117" s="45"/>
      <c r="BW117" s="45"/>
    </row>
    <row r="118" spans="1:75" s="8" customFormat="1" ht="3.95" customHeight="1" thickBot="1">
      <c r="A118" s="45"/>
      <c r="B118" s="227"/>
      <c r="C118" s="274"/>
      <c r="D118" s="270"/>
      <c r="E118" s="17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22"/>
      <c r="Q118" s="22"/>
      <c r="R118" s="266"/>
      <c r="S118" s="296"/>
      <c r="T118" s="505"/>
      <c r="V118" s="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239"/>
      <c r="BR118" s="45"/>
      <c r="BS118" s="45"/>
      <c r="BT118" s="45"/>
      <c r="BU118" s="45"/>
      <c r="BV118" s="45"/>
      <c r="BW118" s="45"/>
    </row>
    <row r="119" spans="1:75" s="8" customFormat="1" ht="27.75" customHeight="1">
      <c r="A119" s="45"/>
      <c r="B119" s="227"/>
      <c r="C119" s="274"/>
      <c r="D119" s="270"/>
      <c r="E119" s="310"/>
      <c r="F119" s="313"/>
      <c r="G119" s="497" t="s">
        <v>107</v>
      </c>
      <c r="H119" s="498"/>
      <c r="I119" s="498"/>
      <c r="J119" s="498"/>
      <c r="K119" s="365"/>
      <c r="L119" s="499" t="s">
        <v>101</v>
      </c>
      <c r="M119" s="547"/>
      <c r="N119" s="339" t="s">
        <v>108</v>
      </c>
      <c r="O119" s="499" t="s">
        <v>109</v>
      </c>
      <c r="P119" s="498"/>
      <c r="Q119" s="498"/>
      <c r="R119" s="500"/>
      <c r="S119" s="297"/>
      <c r="T119" s="505"/>
      <c r="V119" s="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00" t="s">
        <v>104</v>
      </c>
      <c r="AM119" s="401" t="s">
        <v>110</v>
      </c>
      <c r="AN119" s="394" t="s">
        <v>111</v>
      </c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239"/>
      <c r="BR119" s="45"/>
      <c r="BS119" s="45"/>
      <c r="BT119" s="45"/>
      <c r="BU119" s="45"/>
      <c r="BV119" s="45"/>
      <c r="BW119" s="45"/>
    </row>
    <row r="120" spans="1:75" s="8" customFormat="1" ht="21.6" customHeight="1">
      <c r="A120" s="45"/>
      <c r="B120" s="227"/>
      <c r="C120" s="274"/>
      <c r="D120" s="270"/>
      <c r="E120" s="529" t="s">
        <v>112</v>
      </c>
      <c r="F120" s="280">
        <f>IF(G120&lt;&gt;"",(IF($L120="(High) عالي",3,
(IF($L120="(Medium)  متوسط",2,
(IF($L120="(Low)  منخفض",1,0)))))),0)</f>
        <v>0</v>
      </c>
      <c r="G120" s="494"/>
      <c r="H120" s="494"/>
      <c r="I120" s="494"/>
      <c r="J120" s="494"/>
      <c r="K120" s="495"/>
      <c r="L120" s="489"/>
      <c r="M120" s="490"/>
      <c r="N120" s="363"/>
      <c r="O120" s="508"/>
      <c r="P120" s="509"/>
      <c r="Q120" s="509"/>
      <c r="R120" s="509"/>
      <c r="S120" s="388"/>
      <c r="T120" s="505"/>
      <c r="V120" s="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02">
        <f t="shared" ref="AL120:AL129" si="7">(IF(L120="High",3,
(IF(L120="Medium",2,
(IF(L120="Low",1,0))))))</f>
        <v>0</v>
      </c>
      <c r="AM120" s="403"/>
      <c r="AN120" s="396" t="str">
        <f t="shared" ref="AN120:AN129" si="8">IF(G120&lt;&gt;"",F120,"")</f>
        <v/>
      </c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239"/>
      <c r="BR120" s="45"/>
      <c r="BS120" s="45"/>
      <c r="BT120" s="45"/>
      <c r="BU120" s="45"/>
      <c r="BV120" s="45"/>
      <c r="BW120" s="45"/>
    </row>
    <row r="121" spans="1:75" s="8" customFormat="1" ht="21.6" customHeight="1">
      <c r="A121" s="45"/>
      <c r="B121" s="227"/>
      <c r="C121" s="274"/>
      <c r="D121" s="270"/>
      <c r="E121" s="530"/>
      <c r="F121" s="280">
        <f t="shared" ref="F121:F129" si="9">IF(G121&lt;&gt;"",(IF($L121="(High) عالي",3,
(IF($L121="(Medium)  متوسط",2,
(IF($L121="(Low)  منخفض",1,0)))))),0)</f>
        <v>0</v>
      </c>
      <c r="G121" s="487"/>
      <c r="H121" s="487"/>
      <c r="I121" s="487"/>
      <c r="J121" s="487"/>
      <c r="K121" s="504"/>
      <c r="L121" s="489"/>
      <c r="M121" s="490"/>
      <c r="N121" s="363"/>
      <c r="O121" s="508"/>
      <c r="P121" s="509"/>
      <c r="Q121" s="509"/>
      <c r="R121" s="509"/>
      <c r="S121" s="388"/>
      <c r="T121" s="505"/>
      <c r="V121" s="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02">
        <f t="shared" si="7"/>
        <v>0</v>
      </c>
      <c r="AM121" s="403"/>
      <c r="AN121" s="396" t="str">
        <f t="shared" si="8"/>
        <v/>
      </c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239"/>
      <c r="BR121" s="45"/>
      <c r="BS121" s="45"/>
      <c r="BT121" s="45"/>
      <c r="BU121" s="45"/>
      <c r="BV121" s="45"/>
      <c r="BW121" s="45"/>
    </row>
    <row r="122" spans="1:75" s="8" customFormat="1" ht="21.6" customHeight="1">
      <c r="A122" s="45"/>
      <c r="B122" s="227"/>
      <c r="C122" s="274"/>
      <c r="D122" s="270"/>
      <c r="E122" s="530"/>
      <c r="F122" s="280">
        <f t="shared" si="9"/>
        <v>0</v>
      </c>
      <c r="G122" s="487"/>
      <c r="H122" s="487"/>
      <c r="I122" s="487"/>
      <c r="J122" s="487"/>
      <c r="K122" s="504"/>
      <c r="L122" s="489"/>
      <c r="M122" s="490"/>
      <c r="N122" s="363"/>
      <c r="O122" s="486"/>
      <c r="P122" s="487"/>
      <c r="Q122" s="487"/>
      <c r="R122" s="488"/>
      <c r="S122" s="289"/>
      <c r="T122" s="505"/>
      <c r="V122" s="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02">
        <f t="shared" si="7"/>
        <v>0</v>
      </c>
      <c r="AM122" s="403"/>
      <c r="AN122" s="396" t="str">
        <f t="shared" si="8"/>
        <v/>
      </c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239"/>
      <c r="BR122" s="45"/>
      <c r="BS122" s="45"/>
      <c r="BT122" s="45"/>
      <c r="BU122" s="45"/>
      <c r="BV122" s="45"/>
      <c r="BW122" s="45"/>
    </row>
    <row r="123" spans="1:75" s="8" customFormat="1" ht="21.6" customHeight="1">
      <c r="A123" s="45"/>
      <c r="B123" s="227"/>
      <c r="C123" s="274"/>
      <c r="D123" s="270"/>
      <c r="E123" s="530"/>
      <c r="F123" s="280">
        <f t="shared" si="9"/>
        <v>0</v>
      </c>
      <c r="G123" s="487"/>
      <c r="H123" s="487"/>
      <c r="I123" s="487"/>
      <c r="J123" s="487"/>
      <c r="K123" s="504"/>
      <c r="L123" s="489"/>
      <c r="M123" s="490"/>
      <c r="N123" s="363"/>
      <c r="O123" s="486"/>
      <c r="P123" s="487"/>
      <c r="Q123" s="487"/>
      <c r="R123" s="488"/>
      <c r="S123" s="289"/>
      <c r="T123" s="505"/>
      <c r="V123" s="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02">
        <f t="shared" si="7"/>
        <v>0</v>
      </c>
      <c r="AM123" s="403"/>
      <c r="AN123" s="404" t="str">
        <f t="shared" si="8"/>
        <v/>
      </c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239"/>
      <c r="BR123" s="45"/>
      <c r="BS123" s="45"/>
      <c r="BT123" s="45"/>
      <c r="BU123" s="45"/>
      <c r="BV123" s="45"/>
      <c r="BW123" s="45"/>
    </row>
    <row r="124" spans="1:75" s="8" customFormat="1" ht="21.6" customHeight="1">
      <c r="A124" s="45"/>
      <c r="B124" s="227"/>
      <c r="C124" s="274"/>
      <c r="D124" s="270"/>
      <c r="E124" s="530"/>
      <c r="F124" s="280">
        <f t="shared" si="9"/>
        <v>0</v>
      </c>
      <c r="G124" s="487"/>
      <c r="H124" s="487"/>
      <c r="I124" s="487"/>
      <c r="J124" s="487"/>
      <c r="K124" s="504"/>
      <c r="L124" s="489"/>
      <c r="M124" s="490"/>
      <c r="N124" s="363"/>
      <c r="O124" s="486"/>
      <c r="P124" s="487"/>
      <c r="Q124" s="487"/>
      <c r="R124" s="488"/>
      <c r="S124" s="289"/>
      <c r="T124" s="505"/>
      <c r="V124" s="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05">
        <f t="shared" si="7"/>
        <v>0</v>
      </c>
      <c r="AM124" s="403"/>
      <c r="AN124" s="396" t="str">
        <f t="shared" si="8"/>
        <v/>
      </c>
      <c r="AO124" s="406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239"/>
      <c r="BR124" s="45"/>
      <c r="BS124" s="45"/>
      <c r="BT124" s="45"/>
      <c r="BU124" s="45"/>
      <c r="BV124" s="45"/>
      <c r="BW124" s="45"/>
    </row>
    <row r="125" spans="1:75" s="8" customFormat="1" ht="21.6" hidden="1" customHeight="1">
      <c r="A125" s="45"/>
      <c r="B125" s="227"/>
      <c r="C125" s="269"/>
      <c r="D125" s="270"/>
      <c r="E125" s="530"/>
      <c r="F125" s="280">
        <f t="shared" si="9"/>
        <v>0</v>
      </c>
      <c r="G125" s="487"/>
      <c r="H125" s="487"/>
      <c r="I125" s="487"/>
      <c r="J125" s="487"/>
      <c r="K125" s="504"/>
      <c r="L125" s="489"/>
      <c r="M125" s="490"/>
      <c r="N125" s="345"/>
      <c r="O125" s="486"/>
      <c r="P125" s="487"/>
      <c r="Q125" s="487"/>
      <c r="R125" s="488"/>
      <c r="S125" s="289"/>
      <c r="T125" s="505"/>
      <c r="V125" s="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02">
        <f t="shared" si="7"/>
        <v>0</v>
      </c>
      <c r="AM125" s="403"/>
      <c r="AN125" s="404" t="str">
        <f t="shared" si="8"/>
        <v/>
      </c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239"/>
      <c r="BR125" s="45"/>
      <c r="BS125" s="45"/>
      <c r="BT125" s="45"/>
      <c r="BU125" s="45"/>
      <c r="BV125" s="45"/>
      <c r="BW125" s="45"/>
    </row>
    <row r="126" spans="1:75" s="8" customFormat="1" ht="21.6" hidden="1" customHeight="1">
      <c r="A126" s="45"/>
      <c r="B126" s="227"/>
      <c r="C126" s="269"/>
      <c r="D126" s="270"/>
      <c r="E126" s="530"/>
      <c r="F126" s="280">
        <f t="shared" si="9"/>
        <v>0</v>
      </c>
      <c r="G126" s="487"/>
      <c r="H126" s="487"/>
      <c r="I126" s="487"/>
      <c r="J126" s="487"/>
      <c r="K126" s="504"/>
      <c r="L126" s="489"/>
      <c r="M126" s="490"/>
      <c r="N126" s="345"/>
      <c r="O126" s="486"/>
      <c r="P126" s="487"/>
      <c r="Q126" s="487"/>
      <c r="R126" s="488"/>
      <c r="S126" s="289"/>
      <c r="T126" s="505"/>
      <c r="V126" s="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02">
        <f t="shared" si="7"/>
        <v>0</v>
      </c>
      <c r="AM126" s="403"/>
      <c r="AN126" s="404" t="str">
        <f t="shared" si="8"/>
        <v/>
      </c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239"/>
      <c r="BR126" s="45"/>
      <c r="BS126" s="45"/>
      <c r="BT126" s="45"/>
      <c r="BU126" s="45"/>
      <c r="BV126" s="45"/>
      <c r="BW126" s="45"/>
    </row>
    <row r="127" spans="1:75" s="8" customFormat="1" ht="21.6" hidden="1" customHeight="1">
      <c r="A127" s="45"/>
      <c r="B127" s="227"/>
      <c r="C127" s="269"/>
      <c r="D127" s="270"/>
      <c r="E127" s="530"/>
      <c r="F127" s="280">
        <f t="shared" si="9"/>
        <v>0</v>
      </c>
      <c r="G127" s="494"/>
      <c r="H127" s="494"/>
      <c r="I127" s="494"/>
      <c r="J127" s="494"/>
      <c r="K127" s="495"/>
      <c r="L127" s="489"/>
      <c r="M127" s="490"/>
      <c r="N127" s="345"/>
      <c r="O127" s="511"/>
      <c r="P127" s="494"/>
      <c r="Q127" s="494"/>
      <c r="R127" s="512"/>
      <c r="S127" s="289"/>
      <c r="T127" s="505"/>
      <c r="V127" s="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02">
        <f t="shared" si="7"/>
        <v>0</v>
      </c>
      <c r="AM127" s="403"/>
      <c r="AN127" s="404" t="str">
        <f t="shared" si="8"/>
        <v/>
      </c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239"/>
      <c r="BR127" s="45"/>
      <c r="BS127" s="45"/>
      <c r="BT127" s="45"/>
      <c r="BU127" s="45"/>
      <c r="BV127" s="45"/>
      <c r="BW127" s="45"/>
    </row>
    <row r="128" spans="1:75" s="8" customFormat="1" ht="21.6" hidden="1" customHeight="1">
      <c r="A128" s="45"/>
      <c r="B128" s="227"/>
      <c r="C128" s="269"/>
      <c r="D128" s="270"/>
      <c r="E128" s="530"/>
      <c r="F128" s="280">
        <f t="shared" si="9"/>
        <v>0</v>
      </c>
      <c r="G128" s="487"/>
      <c r="H128" s="487"/>
      <c r="I128" s="487"/>
      <c r="J128" s="487"/>
      <c r="K128" s="504"/>
      <c r="L128" s="489"/>
      <c r="M128" s="490"/>
      <c r="N128" s="345"/>
      <c r="O128" s="486"/>
      <c r="P128" s="487"/>
      <c r="Q128" s="487"/>
      <c r="R128" s="488"/>
      <c r="S128" s="289"/>
      <c r="T128" s="505"/>
      <c r="V128" s="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02">
        <f t="shared" si="7"/>
        <v>0</v>
      </c>
      <c r="AM128" s="403"/>
      <c r="AN128" s="404" t="str">
        <f t="shared" si="8"/>
        <v/>
      </c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  <c r="BQ128" s="239"/>
      <c r="BR128" s="45"/>
      <c r="BS128" s="45"/>
      <c r="BT128" s="45"/>
      <c r="BU128" s="45"/>
      <c r="BV128" s="45"/>
      <c r="BW128" s="45"/>
    </row>
    <row r="129" spans="1:87" s="8" customFormat="1" ht="21.6" hidden="1" customHeight="1" thickBot="1">
      <c r="A129" s="45"/>
      <c r="B129" s="227"/>
      <c r="C129" s="269"/>
      <c r="D129" s="270"/>
      <c r="E129" s="531"/>
      <c r="F129" s="312">
        <f t="shared" si="9"/>
        <v>0</v>
      </c>
      <c r="G129" s="482"/>
      <c r="H129" s="482"/>
      <c r="I129" s="482"/>
      <c r="J129" s="482"/>
      <c r="K129" s="539"/>
      <c r="L129" s="537"/>
      <c r="M129" s="538"/>
      <c r="N129" s="346"/>
      <c r="O129" s="481"/>
      <c r="P129" s="482"/>
      <c r="Q129" s="482"/>
      <c r="R129" s="483"/>
      <c r="S129" s="289"/>
      <c r="T129" s="505"/>
      <c r="V129" s="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07">
        <f t="shared" si="7"/>
        <v>0</v>
      </c>
      <c r="AM129" s="408"/>
      <c r="AN129" s="409" t="str">
        <f t="shared" si="8"/>
        <v/>
      </c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5"/>
      <c r="BQ129" s="239"/>
      <c r="BR129" s="45"/>
      <c r="BS129" s="45"/>
      <c r="BT129" s="45"/>
      <c r="BU129" s="45"/>
      <c r="BV129" s="45"/>
      <c r="BW129" s="45"/>
    </row>
    <row r="130" spans="1:87" s="8" customFormat="1" ht="0.95" customHeight="1">
      <c r="A130" s="45"/>
      <c r="B130" s="227"/>
      <c r="C130" s="274"/>
      <c r="D130" s="270"/>
      <c r="E130" s="532"/>
      <c r="F130" s="532"/>
      <c r="G130" s="532"/>
      <c r="H130" s="532"/>
      <c r="I130" s="532"/>
      <c r="J130" s="532"/>
      <c r="K130" s="532"/>
      <c r="L130" s="532"/>
      <c r="M130" s="532"/>
      <c r="N130" s="532"/>
      <c r="O130" s="532"/>
      <c r="P130" s="532"/>
      <c r="Q130" s="532"/>
      <c r="R130" s="532"/>
      <c r="S130" s="268"/>
      <c r="T130" s="505"/>
      <c r="V130" s="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10"/>
      <c r="AM130" s="411"/>
      <c r="AN130" s="412"/>
      <c r="AO130" s="413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239"/>
      <c r="BR130" s="45"/>
      <c r="BS130" s="45"/>
      <c r="BT130" s="45"/>
      <c r="BU130" s="45"/>
      <c r="BV130" s="45"/>
      <c r="BW130" s="45"/>
    </row>
    <row r="131" spans="1:87" s="8" customFormat="1" ht="6.2" customHeight="1" thickBot="1">
      <c r="A131" s="45"/>
      <c r="B131" s="227"/>
      <c r="C131" s="274"/>
      <c r="D131" s="270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505"/>
      <c r="V131" s="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14"/>
      <c r="AM131" s="415"/>
      <c r="AN131" s="239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239"/>
      <c r="BR131" s="45"/>
      <c r="BS131" s="45"/>
      <c r="BT131" s="45"/>
      <c r="BU131" s="45"/>
      <c r="BV131" s="45"/>
      <c r="BW131" s="45"/>
    </row>
    <row r="132" spans="1:87" s="8" customFormat="1" ht="36.75" customHeight="1" thickBot="1">
      <c r="A132" s="45"/>
      <c r="B132" s="227"/>
      <c r="C132" s="274"/>
      <c r="D132" s="270"/>
      <c r="E132" s="518" t="s">
        <v>113</v>
      </c>
      <c r="F132" s="519"/>
      <c r="G132" s="519"/>
      <c r="H132" s="519"/>
      <c r="I132" s="519"/>
      <c r="J132" s="519"/>
      <c r="K132" s="519"/>
      <c r="L132" s="519"/>
      <c r="M132" s="519"/>
      <c r="N132" s="519"/>
      <c r="O132" s="519"/>
      <c r="P132" s="519"/>
      <c r="Q132" s="519"/>
      <c r="R132" s="520"/>
      <c r="S132" s="302"/>
      <c r="T132" s="505"/>
      <c r="U132" s="275"/>
      <c r="V132" s="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320"/>
      <c r="AJ132" s="320"/>
      <c r="AK132" s="320"/>
      <c r="AL132" s="416"/>
      <c r="AM132" s="416"/>
      <c r="AN132" s="320"/>
      <c r="AO132" s="320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  <c r="BN132" s="45"/>
      <c r="BO132" s="45"/>
      <c r="BP132" s="45"/>
      <c r="BQ132" s="239"/>
      <c r="BR132" s="45"/>
      <c r="BS132" s="45"/>
      <c r="BT132" s="45"/>
      <c r="BU132" s="45"/>
      <c r="BV132" s="45"/>
      <c r="BW132" s="45"/>
    </row>
    <row r="133" spans="1:87" s="8" customFormat="1" ht="1.7" customHeight="1" thickBot="1">
      <c r="A133" s="45"/>
      <c r="B133" s="227"/>
      <c r="C133" s="274"/>
      <c r="D133" s="270"/>
      <c r="E133" s="510"/>
      <c r="F133" s="510"/>
      <c r="G133" s="510"/>
      <c r="H133" s="510"/>
      <c r="I133" s="510"/>
      <c r="J133" s="510"/>
      <c r="K133" s="510"/>
      <c r="L133" s="510"/>
      <c r="M133" s="510"/>
      <c r="N133" s="510"/>
      <c r="O133" s="510"/>
      <c r="P133" s="510"/>
      <c r="Q133" s="510"/>
      <c r="R133" s="510"/>
      <c r="S133" s="302"/>
      <c r="T133" s="505"/>
      <c r="U133" s="275"/>
      <c r="V133" s="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320"/>
      <c r="AJ133" s="320"/>
      <c r="AK133" s="320"/>
      <c r="AL133" s="320"/>
      <c r="AM133" s="320"/>
      <c r="AN133" s="320"/>
      <c r="AO133" s="320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  <c r="BQ133" s="239"/>
      <c r="BR133" s="45"/>
      <c r="BS133" s="45"/>
      <c r="BT133" s="45"/>
      <c r="BU133" s="45"/>
      <c r="BV133" s="45"/>
      <c r="BW133" s="45"/>
    </row>
    <row r="134" spans="1:87" s="8" customFormat="1" ht="24.2" customHeight="1">
      <c r="A134" s="45"/>
      <c r="B134" s="227"/>
      <c r="C134" s="274"/>
      <c r="D134" s="270"/>
      <c r="E134" s="526" t="s">
        <v>114</v>
      </c>
      <c r="F134" s="314" t="s">
        <v>115</v>
      </c>
      <c r="G134" s="515"/>
      <c r="H134" s="516"/>
      <c r="I134" s="516"/>
      <c r="J134" s="516"/>
      <c r="K134" s="516"/>
      <c r="L134" s="516"/>
      <c r="M134" s="516"/>
      <c r="N134" s="516"/>
      <c r="O134" s="516"/>
      <c r="P134" s="516"/>
      <c r="Q134" s="516"/>
      <c r="R134" s="517"/>
      <c r="S134" s="298"/>
      <c r="T134" s="505"/>
      <c r="U134" s="275"/>
      <c r="V134" s="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320"/>
      <c r="AJ134" s="320"/>
      <c r="AK134" s="320"/>
      <c r="AL134" s="320"/>
      <c r="AM134" s="320"/>
      <c r="AN134" s="320"/>
      <c r="AO134" s="320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  <c r="BQ134" s="239"/>
      <c r="BR134" s="45"/>
      <c r="BS134" s="45"/>
      <c r="BT134" s="45"/>
      <c r="BU134" s="45"/>
      <c r="BV134" s="45"/>
      <c r="BW134" s="45"/>
    </row>
    <row r="135" spans="1:87" s="8" customFormat="1" ht="24.6" customHeight="1">
      <c r="A135" s="45"/>
      <c r="B135" s="227"/>
      <c r="C135" s="274"/>
      <c r="D135" s="270"/>
      <c r="E135" s="527"/>
      <c r="F135" s="281" t="s">
        <v>116</v>
      </c>
      <c r="G135" s="513"/>
      <c r="H135" s="513"/>
      <c r="I135" s="513"/>
      <c r="J135" s="513"/>
      <c r="K135" s="513"/>
      <c r="L135" s="513"/>
      <c r="M135" s="513"/>
      <c r="N135" s="513"/>
      <c r="O135" s="513"/>
      <c r="P135" s="513"/>
      <c r="Q135" s="513"/>
      <c r="R135" s="514"/>
      <c r="S135" s="298"/>
      <c r="T135" s="505"/>
      <c r="U135" s="275"/>
      <c r="V135" s="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320"/>
      <c r="AJ135" s="320"/>
      <c r="AK135" s="320"/>
      <c r="AL135" s="320"/>
      <c r="AM135" s="320"/>
      <c r="AN135" s="320"/>
      <c r="AO135" s="320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  <c r="BN135" s="45"/>
      <c r="BO135" s="45"/>
      <c r="BP135" s="45"/>
      <c r="BQ135" s="239"/>
      <c r="BR135" s="45"/>
      <c r="BS135" s="45"/>
      <c r="BT135" s="45"/>
      <c r="BU135" s="45"/>
      <c r="BV135" s="45"/>
      <c r="BW135" s="45"/>
    </row>
    <row r="136" spans="1:87" s="8" customFormat="1" ht="23.25" customHeight="1" thickBot="1">
      <c r="A136" s="45"/>
      <c r="B136" s="227"/>
      <c r="C136" s="274"/>
      <c r="D136" s="270"/>
      <c r="E136" s="528"/>
      <c r="F136" s="315" t="s">
        <v>117</v>
      </c>
      <c r="G136" s="524"/>
      <c r="H136" s="524"/>
      <c r="I136" s="524"/>
      <c r="J136" s="524"/>
      <c r="K136" s="524"/>
      <c r="L136" s="524"/>
      <c r="M136" s="524"/>
      <c r="N136" s="524"/>
      <c r="O136" s="524"/>
      <c r="P136" s="524"/>
      <c r="Q136" s="524"/>
      <c r="R136" s="525"/>
      <c r="S136" s="298"/>
      <c r="T136" s="505"/>
      <c r="U136" s="275"/>
      <c r="V136" s="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320"/>
      <c r="AJ136" s="320"/>
      <c r="AK136" s="320"/>
      <c r="AL136" s="320"/>
      <c r="AM136" s="320"/>
      <c r="AN136" s="320"/>
      <c r="AO136" s="320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239"/>
      <c r="BR136" s="45"/>
      <c r="BS136" s="45"/>
      <c r="BT136" s="45"/>
      <c r="BU136" s="45"/>
      <c r="BV136" s="45"/>
      <c r="BW136" s="45"/>
    </row>
    <row r="137" spans="1:87">
      <c r="B137" s="5"/>
      <c r="C137" s="276"/>
      <c r="D137" s="320"/>
      <c r="E137" s="340"/>
      <c r="F137" s="340"/>
      <c r="G137" s="320"/>
      <c r="H137" s="340"/>
      <c r="I137" s="340"/>
      <c r="J137" s="340"/>
      <c r="K137" s="340"/>
      <c r="L137" s="340"/>
      <c r="M137" s="340"/>
      <c r="N137" s="340"/>
      <c r="O137" s="340"/>
      <c r="P137" s="340"/>
      <c r="Q137" s="340"/>
      <c r="R137" s="340"/>
      <c r="T137" s="264"/>
      <c r="V137" s="5"/>
      <c r="BP137" s="239"/>
      <c r="BQ137" s="240"/>
      <c r="BR137" s="45"/>
      <c r="BS137" s="45"/>
      <c r="BT137" s="45"/>
      <c r="BU137" s="45"/>
      <c r="BV137" s="45"/>
      <c r="BW137" s="45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</row>
    <row r="138" spans="1:87" ht="16.7" customHeight="1">
      <c r="B138" s="5"/>
      <c r="C138" s="277"/>
      <c r="D138" s="375"/>
      <c r="E138" s="43" t="s">
        <v>37</v>
      </c>
      <c r="F138" s="278"/>
      <c r="G138" s="376"/>
      <c r="S138" s="341"/>
      <c r="T138" s="341"/>
      <c r="V138" s="5"/>
      <c r="BP138" s="239"/>
      <c r="BQ138" s="240"/>
      <c r="BR138" s="45"/>
      <c r="BS138" s="45"/>
      <c r="BT138" s="45"/>
      <c r="BU138" s="45"/>
      <c r="BV138" s="45"/>
      <c r="BW138" s="45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</row>
    <row r="139" spans="1:87" ht="8.4499999999999993" customHeight="1">
      <c r="B139" s="5"/>
      <c r="C139" s="277"/>
      <c r="E139" s="323"/>
      <c r="S139" s="323"/>
      <c r="V139" s="5"/>
      <c r="BP139" s="239"/>
      <c r="BQ139" s="240"/>
      <c r="BR139" s="45"/>
      <c r="BS139" s="45"/>
      <c r="BT139" s="45"/>
      <c r="BU139" s="45"/>
      <c r="BV139" s="45"/>
      <c r="BW139" s="45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</row>
    <row r="140" spans="1:87" ht="10.5" customHeight="1">
      <c r="B140" s="3"/>
      <c r="C140" s="3"/>
      <c r="D140" s="3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5"/>
      <c r="BP140" s="239"/>
      <c r="BQ140" s="240"/>
      <c r="BR140" s="45"/>
      <c r="BS140" s="45"/>
      <c r="BT140" s="45"/>
      <c r="BU140" s="45"/>
      <c r="BV140" s="45"/>
      <c r="BW140" s="45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</row>
    <row r="141" spans="1:87" hidden="1">
      <c r="B141" s="324"/>
      <c r="C141" s="324"/>
      <c r="E141" s="323"/>
      <c r="S141" s="323"/>
      <c r="BP141" s="239"/>
      <c r="BQ141" s="240"/>
      <c r="BR141" s="45"/>
      <c r="BS141" s="45"/>
      <c r="BT141" s="45"/>
      <c r="BU141" s="45"/>
      <c r="BV141" s="45"/>
      <c r="BW141" s="45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</row>
    <row r="142" spans="1:87" hidden="1">
      <c r="B142" s="324"/>
      <c r="C142" s="324"/>
      <c r="E142" s="323"/>
      <c r="S142" s="323"/>
      <c r="BP142" s="239"/>
      <c r="BQ142" s="240"/>
      <c r="BR142" s="45"/>
      <c r="BS142" s="45"/>
      <c r="BT142" s="45"/>
      <c r="BU142" s="45"/>
      <c r="BV142" s="45"/>
      <c r="BW142" s="45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</row>
    <row r="143" spans="1:87" hidden="1">
      <c r="B143" s="324"/>
      <c r="C143" s="324"/>
      <c r="E143" s="323"/>
      <c r="S143" s="323"/>
      <c r="BP143" s="239"/>
      <c r="BQ143" s="240"/>
      <c r="BR143" s="45"/>
      <c r="BS143" s="45"/>
      <c r="BT143" s="45"/>
      <c r="BU143" s="45"/>
      <c r="BV143" s="45"/>
      <c r="BW143" s="45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</row>
    <row r="144" spans="1:87" hidden="1">
      <c r="B144" s="324"/>
      <c r="C144" s="324"/>
      <c r="E144" s="323"/>
      <c r="S144" s="323"/>
      <c r="BP144" s="239"/>
      <c r="BQ144" s="240"/>
      <c r="BR144" s="45"/>
      <c r="BS144" s="45"/>
      <c r="BT144" s="45"/>
      <c r="BU144" s="45"/>
      <c r="BV144" s="45"/>
      <c r="BW144" s="45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</row>
    <row r="145" spans="2:87" hidden="1">
      <c r="B145" s="324"/>
      <c r="C145" s="324"/>
      <c r="E145" s="323"/>
      <c r="S145" s="323"/>
      <c r="BP145" s="239"/>
      <c r="BQ145" s="240"/>
      <c r="BR145" s="45"/>
      <c r="BS145" s="45"/>
      <c r="BT145" s="45"/>
      <c r="BU145" s="45"/>
      <c r="BV145" s="45"/>
      <c r="BW145" s="45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</row>
    <row r="146" spans="2:87" hidden="1">
      <c r="B146" s="324"/>
      <c r="C146" s="324"/>
      <c r="E146" s="323"/>
      <c r="S146" s="323"/>
      <c r="BP146" s="239"/>
      <c r="BQ146" s="240"/>
      <c r="BR146" s="45"/>
      <c r="BS146" s="45"/>
      <c r="BT146" s="45"/>
      <c r="BU146" s="45"/>
      <c r="BV146" s="45"/>
      <c r="BW146" s="45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</row>
    <row r="147" spans="2:87" hidden="1">
      <c r="B147" s="324"/>
      <c r="C147" s="324"/>
      <c r="E147" s="323"/>
      <c r="S147" s="323"/>
      <c r="BP147" s="239"/>
      <c r="BQ147" s="240"/>
      <c r="BR147" s="45"/>
      <c r="BS147" s="45"/>
      <c r="BT147" s="45"/>
      <c r="BU147" s="45"/>
      <c r="BV147" s="45"/>
      <c r="BW147" s="45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</row>
    <row r="148" spans="2:87" hidden="1">
      <c r="B148" s="324"/>
      <c r="C148" s="324"/>
      <c r="E148" s="323"/>
      <c r="S148" s="323"/>
      <c r="BP148" s="239"/>
      <c r="BQ148" s="240"/>
      <c r="BR148" s="45"/>
      <c r="BS148" s="45"/>
      <c r="BT148" s="45"/>
      <c r="BU148" s="45"/>
      <c r="BV148" s="45"/>
      <c r="BW148" s="45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</row>
    <row r="149" spans="2:87" hidden="1">
      <c r="B149" s="324"/>
      <c r="C149" s="324"/>
      <c r="E149" s="323"/>
      <c r="S149" s="323"/>
      <c r="BP149" s="239"/>
      <c r="BQ149" s="240"/>
      <c r="BR149" s="45"/>
      <c r="BS149" s="45"/>
      <c r="BT149" s="45"/>
      <c r="BU149" s="45"/>
      <c r="BV149" s="45"/>
      <c r="BW149" s="45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</row>
    <row r="150" spans="2:87" hidden="1">
      <c r="B150" s="324"/>
      <c r="C150" s="324"/>
      <c r="E150" s="323"/>
      <c r="S150" s="323"/>
      <c r="BP150" s="239"/>
      <c r="BQ150" s="240"/>
      <c r="BR150" s="45"/>
      <c r="BS150" s="45"/>
      <c r="BT150" s="45"/>
      <c r="BU150" s="45"/>
      <c r="BV150" s="45"/>
      <c r="BW150" s="45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</row>
    <row r="151" spans="2:87" hidden="1">
      <c r="C151" s="323"/>
      <c r="S151" s="323"/>
      <c r="BP151" s="239"/>
      <c r="BQ151" s="240"/>
      <c r="BR151" s="45"/>
      <c r="BS151" s="45"/>
      <c r="BT151" s="45"/>
      <c r="BU151" s="45"/>
      <c r="BV151" s="45"/>
      <c r="BW151" s="45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</row>
    <row r="152" spans="2:87" hidden="1">
      <c r="C152" s="323"/>
      <c r="S152" s="323"/>
      <c r="BP152" s="239"/>
      <c r="BQ152" s="240"/>
      <c r="BR152" s="45"/>
      <c r="BS152" s="45"/>
      <c r="BT152" s="45"/>
      <c r="BU152" s="45"/>
      <c r="BV152" s="45"/>
      <c r="BW152" s="45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</row>
    <row r="153" spans="2:87" hidden="1">
      <c r="C153" s="323"/>
      <c r="S153" s="323"/>
      <c r="BP153" s="239"/>
      <c r="BQ153" s="240"/>
      <c r="BR153" s="45"/>
      <c r="BS153" s="45"/>
      <c r="BT153" s="45"/>
      <c r="BU153" s="45"/>
      <c r="BV153" s="45"/>
      <c r="BW153" s="45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</row>
    <row r="154" spans="2:87" hidden="1">
      <c r="C154" s="323"/>
      <c r="S154" s="323"/>
      <c r="BP154" s="239"/>
      <c r="BQ154" s="240"/>
      <c r="BR154" s="45"/>
      <c r="BS154" s="45"/>
      <c r="BT154" s="45"/>
      <c r="BU154" s="45"/>
      <c r="BV154" s="45"/>
      <c r="BW154" s="45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</row>
    <row r="155" spans="2:87" hidden="1">
      <c r="C155" s="323"/>
      <c r="S155" s="323"/>
      <c r="BP155" s="241"/>
      <c r="BQ155" s="242"/>
      <c r="BR155" s="45"/>
      <c r="BS155" s="45"/>
      <c r="BT155" s="45"/>
      <c r="BU155" s="45"/>
      <c r="BV155" s="45"/>
      <c r="BW155" s="45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</row>
    <row r="156" spans="2:87" hidden="1">
      <c r="BP156" s="239"/>
      <c r="BQ156" s="240"/>
      <c r="BR156" s="45"/>
      <c r="BS156" s="45"/>
      <c r="BT156" s="45"/>
      <c r="BU156" s="45"/>
      <c r="BV156" s="45"/>
      <c r="BW156" s="45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</row>
    <row r="157" spans="2:87" hidden="1">
      <c r="BP157" s="239"/>
      <c r="BQ157" s="240"/>
      <c r="BR157" s="45"/>
      <c r="BS157" s="45"/>
      <c r="BT157" s="45"/>
      <c r="BU157" s="45"/>
      <c r="BV157" s="45"/>
      <c r="BW157" s="45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</row>
    <row r="158" spans="2:87" hidden="1">
      <c r="BP158" s="239"/>
      <c r="BQ158" s="240"/>
      <c r="BR158" s="45"/>
      <c r="BS158" s="45"/>
      <c r="BT158" s="45"/>
      <c r="BU158" s="45"/>
      <c r="BV158" s="45"/>
      <c r="BW158" s="45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</row>
    <row r="159" spans="2:87" hidden="1">
      <c r="BP159" s="239"/>
      <c r="BQ159" s="240"/>
      <c r="BR159" s="45"/>
      <c r="BS159" s="45"/>
      <c r="BT159" s="45"/>
      <c r="BU159" s="45"/>
      <c r="BV159" s="45"/>
      <c r="BW159" s="45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</row>
    <row r="160" spans="2:87" hidden="1">
      <c r="BP160" s="239"/>
      <c r="BQ160" s="240"/>
      <c r="BR160" s="45"/>
      <c r="BS160" s="45"/>
      <c r="BT160" s="45"/>
      <c r="BU160" s="45"/>
      <c r="BV160" s="45"/>
      <c r="BW160" s="45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</row>
    <row r="161" spans="68:87" hidden="1">
      <c r="BP161" s="239"/>
      <c r="BQ161" s="240"/>
      <c r="BR161" s="45"/>
      <c r="BS161" s="45"/>
      <c r="BT161" s="45"/>
      <c r="BU161" s="45"/>
      <c r="BV161" s="45"/>
      <c r="BW161" s="45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</row>
    <row r="162" spans="68:87" hidden="1">
      <c r="BP162" s="239"/>
      <c r="BQ162" s="240"/>
      <c r="BR162" s="45"/>
      <c r="BS162" s="45"/>
      <c r="BT162" s="45"/>
      <c r="BU162" s="45"/>
      <c r="BV162" s="45"/>
      <c r="BW162" s="45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</row>
    <row r="163" spans="68:87" hidden="1">
      <c r="BP163" s="239"/>
      <c r="BQ163" s="240"/>
      <c r="BR163" s="45"/>
      <c r="BS163" s="45"/>
      <c r="BT163" s="45"/>
      <c r="BU163" s="45"/>
      <c r="BV163" s="45"/>
      <c r="BW163" s="45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</row>
    <row r="164" spans="68:87" hidden="1">
      <c r="BP164" s="239"/>
      <c r="BQ164" s="240"/>
      <c r="BR164" s="45"/>
      <c r="BS164" s="45"/>
      <c r="BT164" s="45"/>
      <c r="BU164" s="45"/>
      <c r="BV164" s="45"/>
      <c r="BW164" s="45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</row>
    <row r="165" spans="68:87" hidden="1">
      <c r="BP165" s="239"/>
      <c r="BQ165" s="240"/>
      <c r="BR165" s="45"/>
      <c r="BS165" s="45"/>
      <c r="BT165" s="45"/>
      <c r="BU165" s="45"/>
      <c r="BV165" s="45"/>
      <c r="BW165" s="45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</row>
    <row r="166" spans="68:87" hidden="1">
      <c r="BP166" s="239"/>
      <c r="BQ166" s="240"/>
      <c r="BR166" s="45"/>
      <c r="BS166" s="45"/>
      <c r="BT166" s="45"/>
      <c r="BU166" s="45"/>
      <c r="BV166" s="45"/>
      <c r="BW166" s="45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</row>
    <row r="167" spans="68:87" hidden="1">
      <c r="BP167" s="239"/>
      <c r="BQ167" s="240"/>
      <c r="BR167" s="45"/>
      <c r="BS167" s="45"/>
      <c r="BT167" s="45"/>
      <c r="BU167" s="45"/>
      <c r="BV167" s="45"/>
      <c r="BW167" s="45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</row>
    <row r="168" spans="68:87" hidden="1">
      <c r="BP168" s="239"/>
      <c r="BQ168" s="240"/>
      <c r="BR168" s="45"/>
      <c r="BS168" s="45"/>
      <c r="BT168" s="45"/>
      <c r="BU168" s="45"/>
      <c r="BV168" s="45"/>
      <c r="BW168" s="45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</row>
    <row r="169" spans="68:87" hidden="1">
      <c r="BP169" s="239"/>
      <c r="BQ169" s="240"/>
      <c r="BR169" s="45"/>
      <c r="BS169" s="45"/>
      <c r="BT169" s="45"/>
      <c r="BU169" s="45"/>
      <c r="BV169" s="45"/>
      <c r="BW169" s="45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</row>
    <row r="170" spans="68:87" hidden="1">
      <c r="BP170" s="239"/>
      <c r="BQ170" s="240"/>
      <c r="BR170" s="45"/>
      <c r="BS170" s="45"/>
      <c r="BT170" s="45"/>
      <c r="BU170" s="45"/>
      <c r="BV170" s="45"/>
      <c r="BW170" s="45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</row>
    <row r="171" spans="68:87" hidden="1">
      <c r="BP171" s="239"/>
      <c r="BQ171" s="240"/>
      <c r="BR171" s="45"/>
      <c r="BS171" s="45"/>
      <c r="BT171" s="45"/>
      <c r="BU171" s="45"/>
      <c r="BV171" s="45"/>
      <c r="BW171" s="45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</row>
    <row r="172" spans="68:87" hidden="1">
      <c r="BP172" s="239"/>
      <c r="BQ172" s="240"/>
      <c r="BR172" s="45"/>
      <c r="BS172" s="45"/>
      <c r="BT172" s="45"/>
      <c r="BU172" s="45"/>
      <c r="BV172" s="45"/>
      <c r="BW172" s="45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</row>
    <row r="173" spans="68:87" hidden="1">
      <c r="BP173" s="239"/>
      <c r="BQ173" s="240"/>
      <c r="BR173" s="45"/>
      <c r="BS173" s="45"/>
      <c r="BT173" s="45"/>
      <c r="BU173" s="45"/>
      <c r="BV173" s="45"/>
      <c r="BW173" s="45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</row>
    <row r="174" spans="68:87" hidden="1">
      <c r="BP174" s="239"/>
      <c r="BQ174" s="240"/>
      <c r="BR174" s="45"/>
      <c r="BS174" s="45"/>
      <c r="BT174" s="45"/>
      <c r="BU174" s="45"/>
      <c r="BV174" s="45"/>
      <c r="BW174" s="45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</row>
    <row r="175" spans="68:87" hidden="1">
      <c r="BP175" s="241"/>
      <c r="BQ175" s="242"/>
      <c r="BR175" s="45"/>
      <c r="BS175" s="45"/>
      <c r="BT175" s="45"/>
      <c r="BU175" s="45"/>
      <c r="BV175" s="45"/>
      <c r="BW175" s="45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</row>
    <row r="180"/>
    <row r="181"/>
    <row r="182"/>
    <row r="183"/>
    <row r="184"/>
    <row r="185"/>
    <row r="186"/>
    <row r="187"/>
    <row r="188"/>
    <row r="189"/>
    <row r="191"/>
    <row r="192"/>
    <row r="198"/>
    <row r="200"/>
    <row r="260"/>
    <row r="261"/>
    <row r="262"/>
    <row r="264"/>
    <row r="265"/>
    <row r="266"/>
    <row r="267"/>
    <row r="268"/>
    <row r="269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</sheetData>
  <sheetProtection selectLockedCells="1"/>
  <dataConsolidate/>
  <mergeCells count="273">
    <mergeCell ref="O94:P95"/>
    <mergeCell ref="Q94:R95"/>
    <mergeCell ref="O96:P97"/>
    <mergeCell ref="Q96:R97"/>
    <mergeCell ref="O98:P98"/>
    <mergeCell ref="Q98:R98"/>
    <mergeCell ref="O66:P66"/>
    <mergeCell ref="O67:P67"/>
    <mergeCell ref="O68:P68"/>
    <mergeCell ref="O69:P69"/>
    <mergeCell ref="O70:P70"/>
    <mergeCell ref="O71:P71"/>
    <mergeCell ref="O72:P72"/>
    <mergeCell ref="O73:P73"/>
    <mergeCell ref="O74:P74"/>
    <mergeCell ref="O75:P75"/>
    <mergeCell ref="L66:N66"/>
    <mergeCell ref="L67:N67"/>
    <mergeCell ref="L68:N68"/>
    <mergeCell ref="L69:N69"/>
    <mergeCell ref="L70:N70"/>
    <mergeCell ref="L71:N71"/>
    <mergeCell ref="L72:N72"/>
    <mergeCell ref="L73:N73"/>
    <mergeCell ref="L74:N74"/>
    <mergeCell ref="E66:H66"/>
    <mergeCell ref="E67:H67"/>
    <mergeCell ref="E68:H68"/>
    <mergeCell ref="E69:H69"/>
    <mergeCell ref="E70:H70"/>
    <mergeCell ref="E71:H71"/>
    <mergeCell ref="E72:H72"/>
    <mergeCell ref="E73:H73"/>
    <mergeCell ref="E74:H74"/>
    <mergeCell ref="O65:P65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45:P45"/>
    <mergeCell ref="O46:P46"/>
    <mergeCell ref="O47:P47"/>
    <mergeCell ref="O48:P48"/>
    <mergeCell ref="O49:P49"/>
    <mergeCell ref="O50:P50"/>
    <mergeCell ref="O51:P51"/>
    <mergeCell ref="O63:P63"/>
    <mergeCell ref="O64:P64"/>
    <mergeCell ref="O53:P53"/>
    <mergeCell ref="O52:P52"/>
    <mergeCell ref="L50:N50"/>
    <mergeCell ref="L51:N51"/>
    <mergeCell ref="L52:N52"/>
    <mergeCell ref="L53:N53"/>
    <mergeCell ref="E45:H45"/>
    <mergeCell ref="E46:H46"/>
    <mergeCell ref="E47:H47"/>
    <mergeCell ref="E48:H48"/>
    <mergeCell ref="E49:H49"/>
    <mergeCell ref="E50:H50"/>
    <mergeCell ref="E51:H51"/>
    <mergeCell ref="L45:N45"/>
    <mergeCell ref="L46:N46"/>
    <mergeCell ref="L47:N47"/>
    <mergeCell ref="E52:H52"/>
    <mergeCell ref="E53:H53"/>
    <mergeCell ref="L44:N44"/>
    <mergeCell ref="L76:N76"/>
    <mergeCell ref="F15:G15"/>
    <mergeCell ref="O35:P35"/>
    <mergeCell ref="O36:P36"/>
    <mergeCell ref="O44:P44"/>
    <mergeCell ref="O76:P76"/>
    <mergeCell ref="E32:H32"/>
    <mergeCell ref="E33:H33"/>
    <mergeCell ref="O37:P37"/>
    <mergeCell ref="O38:P38"/>
    <mergeCell ref="O39:P39"/>
    <mergeCell ref="O40:P40"/>
    <mergeCell ref="O41:P41"/>
    <mergeCell ref="O42:P42"/>
    <mergeCell ref="O43:P43"/>
    <mergeCell ref="E44:H44"/>
    <mergeCell ref="E76:H76"/>
    <mergeCell ref="L35:N35"/>
    <mergeCell ref="L36:N36"/>
    <mergeCell ref="L37:N37"/>
    <mergeCell ref="L38:N38"/>
    <mergeCell ref="L48:N48"/>
    <mergeCell ref="L49:N49"/>
    <mergeCell ref="L41:N41"/>
    <mergeCell ref="L42:N42"/>
    <mergeCell ref="L43:N43"/>
    <mergeCell ref="L30:N30"/>
    <mergeCell ref="L31:N31"/>
    <mergeCell ref="L32:N32"/>
    <mergeCell ref="L33:N33"/>
    <mergeCell ref="L34:N34"/>
    <mergeCell ref="L39:N39"/>
    <mergeCell ref="L40:N40"/>
    <mergeCell ref="G111:J111"/>
    <mergeCell ref="E104:E113"/>
    <mergeCell ref="E25:R25"/>
    <mergeCell ref="E26:R26"/>
    <mergeCell ref="G104:J104"/>
    <mergeCell ref="M108:R108"/>
    <mergeCell ref="M109:R109"/>
    <mergeCell ref="M110:R110"/>
    <mergeCell ref="M111:R111"/>
    <mergeCell ref="M112:R112"/>
    <mergeCell ref="M113:R113"/>
    <mergeCell ref="O28:P28"/>
    <mergeCell ref="E37:H37"/>
    <mergeCell ref="E38:H38"/>
    <mergeCell ref="E39:H39"/>
    <mergeCell ref="E40:H40"/>
    <mergeCell ref="E41:H41"/>
    <mergeCell ref="E42:H42"/>
    <mergeCell ref="E43:H43"/>
    <mergeCell ref="E27:H27"/>
    <mergeCell ref="E28:H28"/>
    <mergeCell ref="E29:H29"/>
    <mergeCell ref="E30:H30"/>
    <mergeCell ref="E31:H31"/>
    <mergeCell ref="H15:L15"/>
    <mergeCell ref="H17:L17"/>
    <mergeCell ref="P16:R16"/>
    <mergeCell ref="P17:R17"/>
    <mergeCell ref="O27:P27"/>
    <mergeCell ref="M16:O16"/>
    <mergeCell ref="L27:N27"/>
    <mergeCell ref="G23:H23"/>
    <mergeCell ref="P11:R11"/>
    <mergeCell ref="P12:R12"/>
    <mergeCell ref="P13:R13"/>
    <mergeCell ref="P14:R14"/>
    <mergeCell ref="P15:R15"/>
    <mergeCell ref="M11:O11"/>
    <mergeCell ref="M12:O12"/>
    <mergeCell ref="M13:O13"/>
    <mergeCell ref="M14:O14"/>
    <mergeCell ref="M15:O15"/>
    <mergeCell ref="F12:G12"/>
    <mergeCell ref="O32:P32"/>
    <mergeCell ref="O33:P33"/>
    <mergeCell ref="O34:P34"/>
    <mergeCell ref="E35:H35"/>
    <mergeCell ref="E36:H36"/>
    <mergeCell ref="F16:G16"/>
    <mergeCell ref="H16:I16"/>
    <mergeCell ref="J16:K16"/>
    <mergeCell ref="L28:N28"/>
    <mergeCell ref="L29:N29"/>
    <mergeCell ref="M106:R106"/>
    <mergeCell ref="M17:O17"/>
    <mergeCell ref="E24:Q24"/>
    <mergeCell ref="F80:J90"/>
    <mergeCell ref="M80:R90"/>
    <mergeCell ref="K80:L90"/>
    <mergeCell ref="E94:F97"/>
    <mergeCell ref="E98:F98"/>
    <mergeCell ref="E80:E90"/>
    <mergeCell ref="E91:R91"/>
    <mergeCell ref="E78:R78"/>
    <mergeCell ref="E79:R79"/>
    <mergeCell ref="E34:H34"/>
    <mergeCell ref="G21:H21"/>
    <mergeCell ref="I21:R21"/>
    <mergeCell ref="I22:R22"/>
    <mergeCell ref="I23:R23"/>
    <mergeCell ref="G22:H22"/>
    <mergeCell ref="L75:N75"/>
    <mergeCell ref="O29:P29"/>
    <mergeCell ref="E64:H64"/>
    <mergeCell ref="E65:H65"/>
    <mergeCell ref="O30:P30"/>
    <mergeCell ref="O31:P31"/>
    <mergeCell ref="E7:F7"/>
    <mergeCell ref="G94:N98"/>
    <mergeCell ref="M104:R104"/>
    <mergeCell ref="L125:M125"/>
    <mergeCell ref="L126:M126"/>
    <mergeCell ref="L119:M119"/>
    <mergeCell ref="O123:R123"/>
    <mergeCell ref="G124:K124"/>
    <mergeCell ref="G105:J105"/>
    <mergeCell ref="E9:R9"/>
    <mergeCell ref="F14:L14"/>
    <mergeCell ref="E92:R92"/>
    <mergeCell ref="E93:R93"/>
    <mergeCell ref="O120:R120"/>
    <mergeCell ref="G121:K121"/>
    <mergeCell ref="G101:I101"/>
    <mergeCell ref="F11:L11"/>
    <mergeCell ref="E20:Q20"/>
    <mergeCell ref="F13:L13"/>
    <mergeCell ref="G19:H19"/>
    <mergeCell ref="F17:G17"/>
    <mergeCell ref="E75:H75"/>
    <mergeCell ref="M103:R103"/>
    <mergeCell ref="M105:R105"/>
    <mergeCell ref="T7:T136"/>
    <mergeCell ref="G103:J103"/>
    <mergeCell ref="G122:K122"/>
    <mergeCell ref="O122:R122"/>
    <mergeCell ref="O121:R121"/>
    <mergeCell ref="E133:R133"/>
    <mergeCell ref="O127:R127"/>
    <mergeCell ref="G135:R135"/>
    <mergeCell ref="G134:R134"/>
    <mergeCell ref="E132:R132"/>
    <mergeCell ref="G106:J106"/>
    <mergeCell ref="G136:R136"/>
    <mergeCell ref="E134:E136"/>
    <mergeCell ref="E120:E129"/>
    <mergeCell ref="G128:K128"/>
    <mergeCell ref="O128:R128"/>
    <mergeCell ref="G123:K123"/>
    <mergeCell ref="E130:R130"/>
    <mergeCell ref="I7:J7"/>
    <mergeCell ref="P19:R19"/>
    <mergeCell ref="L129:M129"/>
    <mergeCell ref="L127:M127"/>
    <mergeCell ref="L128:M128"/>
    <mergeCell ref="G129:K129"/>
    <mergeCell ref="O129:R129"/>
    <mergeCell ref="G107:J107"/>
    <mergeCell ref="G108:J108"/>
    <mergeCell ref="G109:J109"/>
    <mergeCell ref="G113:J113"/>
    <mergeCell ref="G112:J112"/>
    <mergeCell ref="O124:R124"/>
    <mergeCell ref="L120:M120"/>
    <mergeCell ref="L121:M121"/>
    <mergeCell ref="L122:M122"/>
    <mergeCell ref="M107:R107"/>
    <mergeCell ref="L123:M123"/>
    <mergeCell ref="L124:M124"/>
    <mergeCell ref="G127:K127"/>
    <mergeCell ref="G120:K120"/>
    <mergeCell ref="E115:R115"/>
    <mergeCell ref="G119:J119"/>
    <mergeCell ref="O119:R119"/>
    <mergeCell ref="G117:I117"/>
    <mergeCell ref="G125:K125"/>
    <mergeCell ref="O125:R125"/>
    <mergeCell ref="G126:K126"/>
    <mergeCell ref="O126:R126"/>
    <mergeCell ref="G110:J110"/>
    <mergeCell ref="E54:H54"/>
    <mergeCell ref="E63:H63"/>
    <mergeCell ref="E55:H55"/>
    <mergeCell ref="E56:H56"/>
    <mergeCell ref="E57:H57"/>
    <mergeCell ref="E58:H58"/>
    <mergeCell ref="E59:H59"/>
    <mergeCell ref="E60:H60"/>
    <mergeCell ref="E61:H61"/>
    <mergeCell ref="E62:H62"/>
    <mergeCell ref="L64:N64"/>
    <mergeCell ref="L65:N65"/>
    <mergeCell ref="L54:N54"/>
    <mergeCell ref="L55:N55"/>
    <mergeCell ref="L56:N56"/>
    <mergeCell ref="L57:N57"/>
    <mergeCell ref="L58:N58"/>
    <mergeCell ref="L62:N62"/>
    <mergeCell ref="L63:N63"/>
  </mergeCells>
  <conditionalFormatting sqref="F22">
    <cfRule type="iconSet" priority="41">
      <iconSet showValue="0">
        <cfvo type="percent" val="0"/>
        <cfvo type="num" val="2"/>
        <cfvo type="num" val="3"/>
      </iconSet>
    </cfRule>
  </conditionalFormatting>
  <conditionalFormatting sqref="F21">
    <cfRule type="iconSet" priority="33">
      <iconSet showValue="0">
        <cfvo type="percent" val="0"/>
        <cfvo type="num" val="2"/>
        <cfvo type="num" val="3"/>
      </iconSet>
    </cfRule>
  </conditionalFormatting>
  <conditionalFormatting sqref="J39">
    <cfRule type="timePeriod" dxfId="116" priority="30" timePeriod="lastWeek">
      <formula>AND(TODAY()-ROUNDDOWN(J39,0)&gt;=(WEEKDAY(TODAY())),TODAY()-ROUNDDOWN(J39,0)&lt;(WEEKDAY(TODAY())+7))</formula>
    </cfRule>
  </conditionalFormatting>
  <conditionalFormatting sqref="J41">
    <cfRule type="timePeriod" dxfId="115" priority="29" timePeriod="lastWeek">
      <formula>AND(TODAY()-ROUNDDOWN(J41,0)&gt;=(WEEKDAY(TODAY())),TODAY()-ROUNDDOWN(J41,0)&lt;(WEEKDAY(TODAY())+7))</formula>
    </cfRule>
  </conditionalFormatting>
  <conditionalFormatting sqref="J42">
    <cfRule type="timePeriod" dxfId="114" priority="28" timePeriod="lastWeek">
      <formula>AND(TODAY()-ROUNDDOWN(J42,0)&gt;=(WEEKDAY(TODAY())),TODAY()-ROUNDDOWN(J42,0)&lt;(WEEKDAY(TODAY())+7))</formula>
    </cfRule>
  </conditionalFormatting>
  <conditionalFormatting sqref="J44">
    <cfRule type="timePeriod" dxfId="113" priority="27" timePeriod="lastWeek">
      <formula>AND(TODAY()-ROUNDDOWN(J44,0)&gt;=(WEEKDAY(TODAY())),TODAY()-ROUNDDOWN(J44,0)&lt;(WEEKDAY(TODAY())+7))</formula>
    </cfRule>
  </conditionalFormatting>
  <conditionalFormatting sqref="J42">
    <cfRule type="timePeriod" dxfId="112" priority="26" timePeriod="lastWeek">
      <formula>AND(TODAY()-ROUNDDOWN(J42,0)&gt;=(WEEKDAY(TODAY())),TODAY()-ROUNDDOWN(J42,0)&lt;(WEEKDAY(TODAY())+7))</formula>
    </cfRule>
  </conditionalFormatting>
  <conditionalFormatting sqref="J44">
    <cfRule type="timePeriod" dxfId="111" priority="25" timePeriod="lastWeek">
      <formula>AND(TODAY()-ROUNDDOWN(J44,0)&gt;=(WEEKDAY(TODAY())),TODAY()-ROUNDDOWN(J44,0)&lt;(WEEKDAY(TODAY())+7))</formula>
    </cfRule>
  </conditionalFormatting>
  <conditionalFormatting sqref="J45">
    <cfRule type="timePeriod" dxfId="110" priority="24" timePeriod="lastWeek">
      <formula>AND(TODAY()-ROUNDDOWN(J45,0)&gt;=(WEEKDAY(TODAY())),TODAY()-ROUNDDOWN(J45,0)&lt;(WEEKDAY(TODAY())+7))</formula>
    </cfRule>
  </conditionalFormatting>
  <conditionalFormatting sqref="J47">
    <cfRule type="timePeriod" dxfId="109" priority="23" timePeriod="lastWeek">
      <formula>AND(TODAY()-ROUNDDOWN(J47,0)&gt;=(WEEKDAY(TODAY())),TODAY()-ROUNDDOWN(J47,0)&lt;(WEEKDAY(TODAY())+7))</formula>
    </cfRule>
  </conditionalFormatting>
  <conditionalFormatting sqref="J47">
    <cfRule type="timePeriod" dxfId="108" priority="21" timePeriod="lastWeek">
      <formula>AND(TODAY()-ROUNDDOWN(J47,0)&gt;=(WEEKDAY(TODAY())),TODAY()-ROUNDDOWN(J47,0)&lt;(WEEKDAY(TODAY())+7))</formula>
    </cfRule>
  </conditionalFormatting>
  <conditionalFormatting sqref="J47">
    <cfRule type="timePeriod" dxfId="107" priority="20" timePeriod="lastWeek">
      <formula>AND(TODAY()-ROUNDDOWN(J47,0)&gt;=(WEEKDAY(TODAY())),TODAY()-ROUNDDOWN(J47,0)&lt;(WEEKDAY(TODAY())+7))</formula>
    </cfRule>
  </conditionalFormatting>
  <conditionalFormatting sqref="J48">
    <cfRule type="timePeriod" dxfId="106" priority="19" timePeriod="lastWeek">
      <formula>AND(TODAY()-ROUNDDOWN(J48,0)&gt;=(WEEKDAY(TODAY())),TODAY()-ROUNDDOWN(J48,0)&lt;(WEEKDAY(TODAY())+7))</formula>
    </cfRule>
  </conditionalFormatting>
  <conditionalFormatting sqref="J50">
    <cfRule type="timePeriod" dxfId="105" priority="18" timePeriod="lastWeek">
      <formula>AND(TODAY()-ROUNDDOWN(J50,0)&gt;=(WEEKDAY(TODAY())),TODAY()-ROUNDDOWN(J50,0)&lt;(WEEKDAY(TODAY())+7))</formula>
    </cfRule>
  </conditionalFormatting>
  <conditionalFormatting sqref="J50">
    <cfRule type="timePeriod" dxfId="104" priority="17" timePeriod="lastWeek">
      <formula>AND(TODAY()-ROUNDDOWN(J50,0)&gt;=(WEEKDAY(TODAY())),TODAY()-ROUNDDOWN(J50,0)&lt;(WEEKDAY(TODAY())+7))</formula>
    </cfRule>
  </conditionalFormatting>
  <conditionalFormatting sqref="J50">
    <cfRule type="timePeriod" dxfId="103" priority="16" timePeriod="lastWeek">
      <formula>AND(TODAY()-ROUNDDOWN(J50,0)&gt;=(WEEKDAY(TODAY())),TODAY()-ROUNDDOWN(J50,0)&lt;(WEEKDAY(TODAY())+7))</formula>
    </cfRule>
  </conditionalFormatting>
  <conditionalFormatting sqref="J50">
    <cfRule type="timePeriod" dxfId="102" priority="15" timePeriod="lastWeek">
      <formula>AND(TODAY()-ROUNDDOWN(J50,0)&gt;=(WEEKDAY(TODAY())),TODAY()-ROUNDDOWN(J50,0)&lt;(WEEKDAY(TODAY())+7))</formula>
    </cfRule>
  </conditionalFormatting>
  <conditionalFormatting sqref="J51">
    <cfRule type="timePeriod" dxfId="101" priority="14" timePeriod="lastWeek">
      <formula>AND(TODAY()-ROUNDDOWN(J51,0)&gt;=(WEEKDAY(TODAY())),TODAY()-ROUNDDOWN(J51,0)&lt;(WEEKDAY(TODAY())+7))</formula>
    </cfRule>
  </conditionalFormatting>
  <conditionalFormatting sqref="J53">
    <cfRule type="timePeriod" dxfId="100" priority="13" timePeriod="lastWeek">
      <formula>AND(TODAY()-ROUNDDOWN(J53,0)&gt;=(WEEKDAY(TODAY())),TODAY()-ROUNDDOWN(J53,0)&lt;(WEEKDAY(TODAY())+7))</formula>
    </cfRule>
  </conditionalFormatting>
  <conditionalFormatting sqref="J54">
    <cfRule type="timePeriod" dxfId="99" priority="12" timePeriod="lastWeek">
      <formula>AND(TODAY()-ROUNDDOWN(J54,0)&gt;=(WEEKDAY(TODAY())),TODAY()-ROUNDDOWN(J54,0)&lt;(WEEKDAY(TODAY())+7))</formula>
    </cfRule>
  </conditionalFormatting>
  <conditionalFormatting sqref="J54">
    <cfRule type="timePeriod" dxfId="98" priority="10" timePeriod="lastWeek">
      <formula>AND(TODAY()-ROUNDDOWN(J54,0)&gt;=(WEEKDAY(TODAY())),TODAY()-ROUNDDOWN(J54,0)&lt;(WEEKDAY(TODAY())+7))</formula>
    </cfRule>
  </conditionalFormatting>
  <conditionalFormatting sqref="J55:J76">
    <cfRule type="timePeriod" dxfId="97" priority="2" timePeriod="lastWeek">
      <formula>AND(TODAY()-ROUNDDOWN(J55,0)&gt;=(WEEKDAY(TODAY())),TODAY()-ROUNDDOWN(J55,0)&lt;(WEEKDAY(TODAY())+7))</formula>
    </cfRule>
  </conditionalFormatting>
  <conditionalFormatting sqref="J55:J76">
    <cfRule type="timePeriod" dxfId="96" priority="1" timePeriod="lastWeek">
      <formula>AND(TODAY()-ROUNDDOWN(J55,0)&gt;=(WEEKDAY(TODAY())),TODAY()-ROUNDDOWN(J55,0)&lt;(WEEKDAY(TODAY())+7))</formula>
    </cfRule>
  </conditionalFormatting>
  <conditionalFormatting sqref="R28:R77">
    <cfRule type="iconSet" priority="141">
      <iconSet iconSet="3Flags" showValue="0">
        <cfvo type="percent" val="0"/>
        <cfvo type="num" val="2"/>
        <cfvo type="num" val="3"/>
      </iconSet>
    </cfRule>
  </conditionalFormatting>
  <dataValidations xWindow="1076" yWindow="562" count="71">
    <dataValidation operator="greaterThan" allowBlank="1" showInputMessage="1" showErrorMessage="1" sqref="G134:I136" xr:uid="{CC1CDE31-1724-4ADF-993C-4AD7F1CA51E8}"/>
    <dataValidation type="list" allowBlank="1" showInputMessage="1" showErrorMessage="1" sqref="K104:K114" xr:uid="{F676A6D6-01C2-4CEC-AB04-BE0F2E1A4412}">
      <formula1>Prob_list</formula1>
    </dataValidation>
    <dataValidation type="list" allowBlank="1" showInputMessage="1" showErrorMessage="1" sqref="F99 O19 F22:F23" xr:uid="{ADAB834D-FEB7-4E53-83B9-BADD5B52CFB2}">
      <formula1>"3,2,1"</formula1>
    </dataValidation>
    <dataValidation type="list" allowBlank="1" showInputMessage="1" showErrorMessage="1" sqref="M114 L104:L114" xr:uid="{4F429B67-E7CE-43FD-A969-0A85CCF3F285}">
      <formula1>Impact_list</formula1>
    </dataValidation>
    <dataValidation type="date" operator="greaterThan" allowBlank="1" showInputMessage="1" showErrorMessage="1" errorTitle="Error" error="Dear Sir,_x000a__x000a_Sorry for inconvenience , kindly check your input again!!_x000a__x000a_Date Format is &quot;DD-MMM-YY&quot;_x000a__x000a_Best Regards," sqref="N114" xr:uid="{002E513C-F889-4808-8298-50B058F60136}">
      <formula1>TODAY()</formula1>
    </dataValidation>
    <dataValidation type="date" allowBlank="1" showInputMessage="1" showErrorMessage="1" errorTitle="Error" error="Dear Sir,_x000a__x000a_Sorry for inconvenience , kindly check your input again!!_x000a__x000a_Date Format is &quot;DD-MMM-YY&quot;_x000a__x000a_Best Regards," sqref="N120:N129" xr:uid="{35F6B4CE-2638-4634-A683-DCED076F99ED}">
      <formula1>43101</formula1>
      <formula2>54789</formula2>
    </dataValidation>
    <dataValidation operator="lessThanOrEqual" showInputMessage="1" showErrorMessage="1" errorTitle="Error" error="Dear Sir,_x000a__x000a_Sorry for inconvenience , kindly check your input again!!_x000a__x000a_Date Format : DD-MMM-YY _x000a__x000a_Best Regards," sqref="P13" xr:uid="{869EB1E1-E1A0-4EA8-B6F1-326494A92061}"/>
    <dataValidation showDropDown="1" showInputMessage="1" showErrorMessage="1" sqref="F21" xr:uid="{36A2F1CC-1312-4E65-B341-998374279EAE}"/>
    <dataValidation type="whole" showInputMessage="1" showErrorMessage="1" sqref="Q18:S18" xr:uid="{55D8B127-A139-42E4-834B-7517E61394DB}">
      <formula1>0</formula1>
      <formula2>99999999999999</formula2>
    </dataValidation>
    <dataValidation type="list" allowBlank="1" showInputMessage="1" showErrorMessage="1" sqref="L120:L129" xr:uid="{3653DFB1-73ED-47C4-AF8C-660EC4AE723B}">
      <formula1>Issue</formula1>
    </dataValidation>
    <dataValidation type="decimal" allowBlank="1" showInputMessage="1" showErrorMessage="1" errorTitle="Percentage_Error" error="Dear Sir,_x000a__x000a_Sorry for inconvenience , kindly check your input again!!_x000a__x000a_You should input only the (% of Completion) in this filed as following ( 0% - 100% )._x000a__x000a_Best Regards,_x000a__x000a_" sqref="K28:K30 K32:K76" xr:uid="{64827FD2-0931-42E4-BDB3-293B8CCF9520}">
      <formula1>0</formula1>
      <formula2>1</formula2>
    </dataValidation>
    <dataValidation type="decimal" allowBlank="1" showInputMessage="1" showErrorMessage="1" errorTitle="Percentage_Error" error="Sorry for inconvenience , kindly check your input again!!_x000a__x000a_You should input only the (% of Completion) in this filed as following ( 0% - 100% )._x000a__x000a_Best Regards,_x000a__x000a_" sqref="K31" xr:uid="{E8E36779-08B5-4FDA-AF77-0F75D970A4CD}">
      <formula1>0</formula1>
      <formula2>1</formula2>
    </dataValidation>
    <dataValidation type="decimal" showInputMessage="1" showErrorMessage="1" errorTitle="Error" error="Sorry for inconvenience , kindly check your input again!!_x000a__x000a_You should input only the (% of Completion) in this filed as following ( 0% - 100% )._x000a__x000a_Best Regards,_x000a_" sqref="Q98" xr:uid="{76F03FC5-6D6B-4F5C-88DF-B06EE4356D1C}">
      <formula1>0</formula1>
      <formula2>1</formula2>
    </dataValidation>
    <dataValidation type="decimal" allowBlank="1" showInputMessage="1" showErrorMessage="1" error="Sorry for inconvenience , kindly check your input again!!_x000a__x000a_You should input only the (% of Completion) in this filed as following ( 0% - 100% )._x000a__x000a_Best Regards,_x000a_" prompt="Enter % of Completion using Project Schedule (MS Project)" sqref="Q94:R95" xr:uid="{B68A3A17-DF7D-4082-8A9F-8CC16287DE40}">
      <formula1>0</formula1>
      <formula2>1</formula2>
    </dataValidation>
    <dataValidation type="whole" operator="greaterThan" allowBlank="1" showInputMessage="1" showErrorMessage="1" error="Sorry for inconvenience , kindly check your input again!!_x000a__x000a_You should enter  (Project End Date) Greater Than (Project Start date)._x000a__x000a_Best Regards," sqref="P12:R12" xr:uid="{2C69F73F-77B9-45E2-ACB9-51D9C77286CB}">
      <formula1>P11</formula1>
    </dataValidation>
    <dataValidation type="date" operator="greaterThanOrEqual" allowBlank="1" showInputMessage="1" showErrorMessage="1" errorTitle="Date_Error" error="You should enter the Milestones Start Date &gt;= Project Start Date" sqref="I36" xr:uid="{3EDFAC04-BC11-46FF-B88F-BD7130D417C5}">
      <formula1>P11</formula1>
    </dataValidation>
    <dataValidation type="date" operator="greaterThanOrEqual" allowBlank="1" showInputMessage="1" showErrorMessage="1" errorTitle="Date_Error" error="You should enter the Milestones Start Date &gt;= Project Start Date_x000a_" sqref="I29" xr:uid="{373E7081-6897-40F9-879C-1EB6C394D456}">
      <formula1>P11</formula1>
    </dataValidation>
    <dataValidation type="date" operator="greaterThanOrEqual" allowBlank="1" showInputMessage="1" showErrorMessage="1" errorTitle="Date_Error" error="You should enter the Milestones Start Date &gt;= Project Start Date_x000a_" sqref="I30" xr:uid="{696829C7-9FF8-4B6A-A860-5900779BFE00}">
      <formula1>P11</formula1>
    </dataValidation>
    <dataValidation type="date" operator="greaterThanOrEqual" allowBlank="1" showInputMessage="1" showErrorMessage="1" errorTitle="Date_Error" error="You should enter the Milestones Start Date &gt;= Project Start Date" sqref="I32" xr:uid="{B5049F87-FAF7-44B6-919E-F8999B4ABE61}">
      <formula1>P11</formula1>
    </dataValidation>
    <dataValidation type="date" operator="greaterThanOrEqual" allowBlank="1" showInputMessage="1" showErrorMessage="1" errorTitle="Date_Error" error="You should enter the Milestones Start Date &gt;= Project Start Date" sqref="I37" xr:uid="{5721038C-DF3C-4146-8495-FFC2C62439CD}">
      <formula1>P11</formula1>
    </dataValidation>
    <dataValidation type="date" operator="greaterThanOrEqual" allowBlank="1" showInputMessage="1" showErrorMessage="1" errorTitle="Date_Error" error="You should enter the Milestones Start Date &gt;= Project Start Date" sqref="I38" xr:uid="{85216D48-7D7D-47E9-ACB5-B68988E4B476}">
      <formula1>P11</formula1>
    </dataValidation>
    <dataValidation type="date" operator="greaterThanOrEqual" allowBlank="1" showInputMessage="1" showErrorMessage="1" errorTitle="Date_Error" error="You should enter the Milestones Start Date &gt;= Project Start Date" sqref="I39" xr:uid="{1E1D6BE6-4118-4EE5-890C-1458E82F3B8E}">
      <formula1>P11</formula1>
    </dataValidation>
    <dataValidation type="date" operator="greaterThanOrEqual" allowBlank="1" showInputMessage="1" showErrorMessage="1" errorTitle="Date_Error" error="You should enter the Milestones Start Date &gt;= Project Start Date" sqref="I40" xr:uid="{CE0FB826-64CC-43EB-A71A-3D0E635A3431}">
      <formula1>P11</formula1>
    </dataValidation>
    <dataValidation type="date" operator="greaterThanOrEqual" showInputMessage="1" showErrorMessage="1" error="Report Period Date should be Greater Than Project Start date._x000a__x000a_" sqref="P16:R16" xr:uid="{BBB96B5E-5F27-40C5-9320-E64EBF0E26F5}">
      <formula1>P11</formula1>
    </dataValidation>
    <dataValidation type="date" operator="greaterThan" showInputMessage="1" showErrorMessage="1" error="Report End Period Date should be Greater Than Report Start Period  Date _x000a_" sqref="P17:R17" xr:uid="{DDCA3BE1-D4FA-4F3B-A1BF-1E6146779A00}">
      <formula1>P16</formula1>
    </dataValidation>
    <dataValidation type="date" operator="greaterThanOrEqual" allowBlank="1" showInputMessage="1" showErrorMessage="1" errorTitle="Date_Error" error="You should enter the Milestones Start Date &gt;= Project Start Date" sqref="I28" xr:uid="{A3951AFA-F136-4573-A6D1-1F436245BFC0}">
      <formula1>P11</formula1>
    </dataValidation>
    <dataValidation type="date" operator="greaterThanOrEqual" allowBlank="1" showInputMessage="1" showErrorMessage="1" errorTitle="Date_Error" error="You should enter the Milestones Start Date &gt;= Project Start Date" sqref="I33" xr:uid="{5C519871-E1B9-4E22-B536-EDC12CC90394}">
      <formula1>P11</formula1>
    </dataValidation>
    <dataValidation type="date" operator="greaterThanOrEqual" allowBlank="1" showInputMessage="1" showErrorMessage="1" errorTitle="Date_Error" error="You should enter the Milestones Start Date &gt;= Project Start Date" sqref="I34" xr:uid="{FE110C1B-7318-4265-AC66-154E1E8B5849}">
      <formula1>P11</formula1>
    </dataValidation>
    <dataValidation type="date" operator="greaterThanOrEqual" allowBlank="1" showInputMessage="1" showErrorMessage="1" errorTitle="Date_Error" error="You should enter the Milestones Start Date &gt;= Project Start Date" sqref="I35" xr:uid="{B82648F4-0DD4-4EC3-8E3B-8C78CF7F4F9C}">
      <formula1>P11</formula1>
    </dataValidation>
    <dataValidation type="date" operator="greaterThanOrEqual" allowBlank="1" showInputMessage="1" showErrorMessage="1" error="You should enter the Milestones Start Date &gt;= Project Start Date" sqref="I50" xr:uid="{F0A2EE74-433B-45B6-B8FA-6AE0D553DE2E}">
      <formula1>P11</formula1>
    </dataValidation>
    <dataValidation type="date" operator="greaterThanOrEqual" allowBlank="1" showInputMessage="1" showErrorMessage="1" error="You should enter the Milestones Start Date &gt;= Project Start Date" sqref="I57" xr:uid="{ADBBB8F0-1A2F-4FCE-BE16-C8CF68A5C919}">
      <formula1>P11</formula1>
    </dataValidation>
    <dataValidation type="date" operator="greaterThanOrEqual" allowBlank="1" showInputMessage="1" showErrorMessage="1" error="You should enter the Milestones Start Date &gt;= Project Start Date" sqref="I58" xr:uid="{AB4627A8-671E-4530-87BE-30557B70C9C8}">
      <formula1>P11</formula1>
    </dataValidation>
    <dataValidation type="date" operator="greaterThanOrEqual" allowBlank="1" showInputMessage="1" showErrorMessage="1" errorTitle="Date_Error" error="You should enter the Milestones Start Date &gt;= Project Start Date" sqref="I31" xr:uid="{7542B301-54F4-4951-9779-02A281B87087}">
      <formula1>P11</formula1>
    </dataValidation>
    <dataValidation type="date" operator="greaterThanOrEqual" allowBlank="1" showInputMessage="1" showErrorMessage="1" error="You should enter the Milestones Start Date &gt;= Project Start Date" sqref="I44" xr:uid="{8E8CF400-495F-49A5-A669-973EB2E646BC}">
      <formula1>P11</formula1>
    </dataValidation>
    <dataValidation type="date" operator="greaterThanOrEqual" allowBlank="1" showInputMessage="1" showErrorMessage="1" error="You should enter the Milestones Start Date &gt;= Project Start Date" sqref="I49" xr:uid="{396525E1-AC5E-4DE3-83CB-115E85D9C740}">
      <formula1>P11</formula1>
    </dataValidation>
    <dataValidation type="date" operator="greaterThanOrEqual" allowBlank="1" showInputMessage="1" showErrorMessage="1" error="You should enter the Milestones Start Date &gt;= Project Start Date" sqref="I45" xr:uid="{9B2D74EB-40BF-48CC-9782-1FF1C45D2AD1}">
      <formula1>P11</formula1>
    </dataValidation>
    <dataValidation type="date" operator="greaterThanOrEqual" allowBlank="1" showInputMessage="1" showErrorMessage="1" error="You should enter the Milestones Start Date &gt;= Project Start Date" sqref="I61" xr:uid="{ED4BC5B7-41A6-4005-B786-CE852911C2C8}">
      <formula1>P11</formula1>
    </dataValidation>
    <dataValidation type="date" operator="greaterThanOrEqual" allowBlank="1" showInputMessage="1" showErrorMessage="1" error="You should enter the Milestones Start Date &gt;= Project Start Date" sqref="I47" xr:uid="{91B13039-BA84-47E7-AF0A-15161F955669}">
      <formula1>P11</formula1>
    </dataValidation>
    <dataValidation type="date" operator="greaterThanOrEqual" allowBlank="1" showInputMessage="1" showErrorMessage="1" error="You should enter the Milestones Start Date &gt;= Project Start Date" sqref="I48" xr:uid="{BB14E229-67EA-4BC9-A644-B4B5E60F1DDF}">
      <formula1>P11</formula1>
    </dataValidation>
    <dataValidation type="date" operator="greaterThanOrEqual" allowBlank="1" showInputMessage="1" showErrorMessage="1" errorTitle="Date_Error" error="You should enter the Milestones Start Date &gt;= Project Start Date" sqref="I43" xr:uid="{CA877D7D-1FD3-47A0-BCF6-76D7380321B8}">
      <formula1>P11</formula1>
    </dataValidation>
    <dataValidation type="date" operator="greaterThanOrEqual" allowBlank="1" showInputMessage="1" showErrorMessage="1" error="You should enter the Milestones Start Date &gt;= Project Start Date" sqref="I76" xr:uid="{5ABE60E8-C11B-4182-86A3-BFB712371B44}">
      <formula1>P11</formula1>
    </dataValidation>
    <dataValidation type="date" operator="greaterThanOrEqual" allowBlank="1" showInputMessage="1" showErrorMessage="1" error="You should enter the Milestones Start Date &gt;= Project Start Date" sqref="I75" xr:uid="{ACE3C56E-263B-4367-8B72-BF41F82C8C56}">
      <formula1>P11</formula1>
    </dataValidation>
    <dataValidation type="date" operator="greaterThanOrEqual" allowBlank="1" showInputMessage="1" showErrorMessage="1" error="You should enter the Milestones Start Date &gt;= Project Start Date" sqref="I55" xr:uid="{3AC45EC4-CFF8-4953-BDF7-837994DDD58B}">
      <formula1>P11</formula1>
    </dataValidation>
    <dataValidation type="date" operator="greaterThanOrEqual" allowBlank="1" showInputMessage="1" showErrorMessage="1" error="You should enter the Milestones Start Date &gt;= Project Start Date" sqref="I54" xr:uid="{EE51959F-4C31-4115-A8F1-D318A9731A27}">
      <formula1>P11</formula1>
    </dataValidation>
    <dataValidation type="date" operator="greaterThanOrEqual" allowBlank="1" showInputMessage="1" showErrorMessage="1" error="You should enter the Milestones Start Date &gt;= Project Start Date" sqref="I53" xr:uid="{DC0974EE-5C8C-4B68-ACE9-40825DA8DFEE}">
      <formula1>P11</formula1>
    </dataValidation>
    <dataValidation type="date" operator="greaterThanOrEqual" allowBlank="1" showInputMessage="1" showErrorMessage="1" error="You should enter the Milestones Start Date &gt;= Project Start Date" sqref="I52" xr:uid="{75C2E116-75E4-4CD6-924F-6724C1A28401}">
      <formula1>P11</formula1>
    </dataValidation>
    <dataValidation type="date" operator="greaterThanOrEqual" allowBlank="1" showInputMessage="1" showErrorMessage="1" error="You should enter the Milestones Start Date &gt;= Project Start Date" sqref="I51" xr:uid="{7D1ED921-E9C3-4B92-97AC-77233D128651}">
      <formula1>P11</formula1>
    </dataValidation>
    <dataValidation type="date" operator="greaterThanOrEqual" allowBlank="1" showInputMessage="1" showErrorMessage="1" error="You should enter the Milestones Start Date &gt;= Project Start Date" sqref="I69" xr:uid="{9911F1CE-EF79-4972-BD8B-BB3152AC9F2F}">
      <formula1>P11</formula1>
    </dataValidation>
    <dataValidation type="date" operator="greaterThanOrEqual" allowBlank="1" showInputMessage="1" showErrorMessage="1" errorTitle="Date_Error" error="You should enter the Milestones Start Date &gt;= Project Start Date" sqref="I41" xr:uid="{4616EA8B-7664-4714-8ECB-E75D51A539BA}">
      <formula1>P11</formula1>
    </dataValidation>
    <dataValidation type="date" operator="greaterThanOrEqual" allowBlank="1" showInputMessage="1" showErrorMessage="1" errorTitle="Date_Error" error="You should enter the Milestones Start Date &gt;= Project Start Date" sqref="I42" xr:uid="{2C108E92-9641-4C60-AF3C-BBA87BE3A17E}">
      <formula1>P11</formula1>
    </dataValidation>
    <dataValidation type="date" operator="greaterThanOrEqual" allowBlank="1" showInputMessage="1" showErrorMessage="1" errorTitle="Date_Error" error="You should enter the Milestones Start Date &gt;= Project Start Date" sqref="I46" xr:uid="{04F3CC06-4221-4C17-A097-92B7F39DFA80}">
      <formula1>P11</formula1>
    </dataValidation>
    <dataValidation type="date" operator="greaterThanOrEqual" allowBlank="1" showInputMessage="1" showErrorMessage="1" error="You should enter the Milestones Start Date &gt;= Project Start Date" sqref="I56" xr:uid="{E2318D13-583A-408F-A120-81828F8CD471}">
      <formula1>P11</formula1>
    </dataValidation>
    <dataValidation type="date" operator="greaterThanOrEqual" allowBlank="1" showInputMessage="1" showErrorMessage="1" error="You should enter the Milestones Start Date &gt;= Project Start Date" sqref="I59" xr:uid="{06F18F4D-8152-465E-875D-CDF0922489BF}">
      <formula1>P11</formula1>
    </dataValidation>
    <dataValidation type="date" operator="greaterThanOrEqual" allowBlank="1" showInputMessage="1" showErrorMessage="1" error="You should enter the Milestones Start Date &gt;= Project Start Date" sqref="I60" xr:uid="{9F4DC95E-61E9-42F1-AD0B-87663AB9E78D}">
      <formula1>P11</formula1>
    </dataValidation>
    <dataValidation type="date" operator="greaterThanOrEqual" allowBlank="1" showInputMessage="1" showErrorMessage="1" error="You should enter the Milestones Start Date &gt;= Project Start Date" sqref="I62" xr:uid="{2CB95BE2-F361-46AB-8B74-5B6E5B3C9283}">
      <formula1>P11</formula1>
    </dataValidation>
    <dataValidation type="date" operator="greaterThanOrEqual" allowBlank="1" showInputMessage="1" showErrorMessage="1" error="You should enter the Milestones Start Date &gt;= Project Start Date" sqref="I63" xr:uid="{A9860F0D-2526-43D4-9D8C-281B0771D5FB}">
      <formula1>P11</formula1>
    </dataValidation>
    <dataValidation type="date" operator="greaterThanOrEqual" allowBlank="1" showInputMessage="1" showErrorMessage="1" error="You should enter the Milestones Start Date &gt;= Project Start Date" sqref="I64" xr:uid="{A73BD459-E642-4F1E-A492-D6EFB95F32E7}">
      <formula1>P11</formula1>
    </dataValidation>
    <dataValidation type="date" operator="greaterThanOrEqual" allowBlank="1" showInputMessage="1" showErrorMessage="1" error="You should enter the Milestones Start Date &gt;= Project Start Date" sqref="I65" xr:uid="{92C8E406-EF61-4BFE-A9EE-A1883C482441}">
      <formula1>P11</formula1>
    </dataValidation>
    <dataValidation type="date" operator="greaterThanOrEqual" allowBlank="1" showInputMessage="1" showErrorMessage="1" error="You should enter the Milestones Start Date &gt;= Project Start Date" sqref="I66" xr:uid="{BA33561A-B943-4A05-88D0-717B6D744CFA}">
      <formula1>P11</formula1>
    </dataValidation>
    <dataValidation type="date" operator="greaterThanOrEqual" allowBlank="1" showInputMessage="1" showErrorMessage="1" error="You should enter the Milestones Start Date &gt;= Project Start Date" sqref="I67" xr:uid="{C23D1310-1707-4C37-A7E8-80D506ACF511}">
      <formula1>P11</formula1>
    </dataValidation>
    <dataValidation type="date" operator="greaterThanOrEqual" allowBlank="1" showInputMessage="1" showErrorMessage="1" error="You should enter the Milestones Start Date &gt;= Project Start Date" sqref="I68" xr:uid="{7A491C56-9049-4EF9-AA3A-7A30EC871A7C}">
      <formula1>P11</formula1>
    </dataValidation>
    <dataValidation type="date" operator="greaterThanOrEqual" allowBlank="1" showInputMessage="1" showErrorMessage="1" error="You should enter the Milestones Start Date &gt;= Project Start Date" sqref="I70" xr:uid="{5E0F8395-D76D-461A-A2FD-F07010EE12B1}">
      <formula1>P11</formula1>
    </dataValidation>
    <dataValidation type="date" operator="greaterThanOrEqual" allowBlank="1" showInputMessage="1" showErrorMessage="1" error="You should enter the Milestones Start Date &gt;= Project Start Date" sqref="I71" xr:uid="{F2E696B5-25E6-465C-A536-A7289A19B57C}">
      <formula1>P11</formula1>
    </dataValidation>
    <dataValidation type="date" operator="greaterThanOrEqual" allowBlank="1" showInputMessage="1" showErrorMessage="1" error="You should enter the Milestones Start Date &gt;= Project Start Date" sqref="I72" xr:uid="{A158F8D3-4A67-4B8D-967F-5398423BF0F6}">
      <formula1>P11</formula1>
    </dataValidation>
    <dataValidation type="date" operator="greaterThanOrEqual" allowBlank="1" showInputMessage="1" showErrorMessage="1" error="You should enter the Milestones Start Date &gt;= Project Start Date" sqref="I73" xr:uid="{B9124C7F-7DE7-4376-8A27-3C565274BA92}">
      <formula1>P11</formula1>
    </dataValidation>
    <dataValidation type="date" operator="greaterThanOrEqual" allowBlank="1" showInputMessage="1" showErrorMessage="1" error="You should enter the Milestones Start Date &gt;= Project Start Date" sqref="I74" xr:uid="{A3C445F9-F6ED-45EA-A7EA-59EE7BA241E6}">
      <formula1>P11</formula1>
    </dataValidation>
    <dataValidation type="date" operator="greaterThanOrEqual" allowBlank="1" showInputMessage="1" showErrorMessage="1" sqref="J35:J76" xr:uid="{DA599D5F-E0AA-47C1-AF6E-D4ED36CB933C}">
      <formula1>I35</formula1>
    </dataValidation>
    <dataValidation type="textLength" operator="greaterThan" showErrorMessage="1" errorTitle="PM Comment" error="Project Manager comment is required" sqref="G94:N98" xr:uid="{E3DE49C6-F0B5-4AD4-BEFD-451FD80E44B4}">
      <formula1>1</formula1>
    </dataValidation>
    <dataValidation type="decimal" showInputMessage="1" showErrorMessage="1" errorTitle="Error" error="Sorry for inconvenience , kindly check your input again!!_x000a__x000a_You should input only the (% of Completion) in this filed as following ( 0% - 100% )._x000a__x000a_Best Regards,_x000a_" prompt="Enter % of Planned using Project Schedule (MS Project)" sqref="Q96:R97" xr:uid="{7B48ACA6-4BD1-4153-AB6F-F38CB4A3149C}">
      <formula1>0</formula1>
      <formula2>1</formula2>
    </dataValidation>
    <dataValidation type="list" allowBlank="1" showInputMessage="1" showErrorMessage="1" sqref="Q28:Q76" xr:uid="{97E0D54D-1C79-41DC-960D-AD20E2043B65}">
      <formula1>"Yes,No"</formula1>
    </dataValidation>
    <dataValidation type="date" operator="greaterThanOrEqual" allowBlank="1" showInputMessage="1" showErrorMessage="1" errorTitle="Date_Error" error="You should enter the Milestones End Date &gt;= Milestones Start Date_x000a__x000a_" sqref="J28:J34" xr:uid="{D608CBAD-6E70-48F0-B8D3-F5FCEDB0CD51}">
      <formula1>I28</formula1>
    </dataValidation>
  </dataValidations>
  <pageMargins left="0.7" right="0.7" top="0.75" bottom="0.75" header="0.3" footer="0.3"/>
  <pageSetup scale="63" fitToHeight="0" orientation="landscape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1" id="{492D3E6C-4378-46D8-A40E-45EDA90DF8D9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7</xm:f>
              </x14:cfvo>
              <x14:cfvo type="num">
                <xm:f>10</xm:f>
              </x14:cfvo>
              <x14:cfIcon iconSet="4RedToBlack" iconId="1"/>
              <x14:cfIcon iconSet="3TrafficLights1" iconId="2"/>
              <x14:cfIcon iconSet="3TrafficLights1" iconId="1"/>
              <x14:cfIcon iconSet="3TrafficLights1" iconId="0"/>
            </x14:iconSet>
          </x14:cfRule>
          <xm:sqref>F104:F114</xm:sqref>
        </x14:conditionalFormatting>
        <x14:conditionalFormatting xmlns:xm="http://schemas.microsoft.com/office/excel/2006/main">
          <x14:cfRule type="iconSet" priority="127" id="{6A9A92B5-5026-4ADB-90C4-98C61D71F9AF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1"/>
              <x14:cfIcon iconSet="3TrafficLights1" iconId="1"/>
              <x14:cfIcon iconSet="3TrafficLights1" iconId="0"/>
            </x14:iconSet>
          </x14:cfRule>
          <xm:sqref>F120:F129</xm:sqref>
        </x14:conditionalFormatting>
        <x14:conditionalFormatting xmlns:xm="http://schemas.microsoft.com/office/excel/2006/main">
          <x14:cfRule type="iconSet" priority="118" id="{2548C653-7B74-435D-B53B-2D4360113568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1"/>
              <x14:cfIcon iconSet="3Symbols" iconId="1"/>
              <x14:cfIcon iconSet="3TrafficLights1" iconId="0"/>
            </x14:iconSet>
          </x14:cfRule>
          <xm:sqref>F134:F135</xm:sqref>
        </x14:conditionalFormatting>
        <x14:conditionalFormatting xmlns:xm="http://schemas.microsoft.com/office/excel/2006/main">
          <x14:cfRule type="iconSet" priority="93" id="{1117E82F-DF2E-447F-832A-9C9CFFDCC050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7</xm:f>
              </x14:cfvo>
              <x14:cfvo type="num">
                <xm:f>10</xm:f>
              </x14:cfvo>
              <x14:cfIcon iconSet="4RedToBlack" iconId="1"/>
              <x14:cfIcon iconSet="3TrafficLights1" iconId="2"/>
              <x14:cfIcon iconSet="3TrafficLights1" iconId="1"/>
              <x14:cfIcon iconSet="3TrafficLights1" iconId="0"/>
            </x14:iconSet>
          </x14:cfRule>
          <xm:sqref>F101</xm:sqref>
        </x14:conditionalFormatting>
        <x14:conditionalFormatting xmlns:xm="http://schemas.microsoft.com/office/excel/2006/main">
          <x14:cfRule type="iconSet" priority="91" id="{F66D5917-90D4-49D4-8923-AACC9AE4E196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1"/>
              <x14:cfIcon iconSet="3TrafficLights1" iconId="1"/>
              <x14:cfIcon iconSet="3TrafficLights1" iconId="0"/>
            </x14:iconSet>
          </x14:cfRule>
          <xm:sqref>F117</xm:sqref>
        </x14:conditionalFormatting>
        <x14:conditionalFormatting xmlns:xm="http://schemas.microsoft.com/office/excel/2006/main">
          <x14:cfRule type="iconSet" priority="78" id="{25AD7AF4-2850-4DFF-A8E4-1011B68409A1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5</xm:f>
              </x14:cfvo>
              <x14:cfvo type="num">
                <xm:f>13</xm:f>
              </x14:cfvo>
              <x14:cfIcon iconSet="4RedToBlack" iconId="1"/>
              <x14:cfIcon iconSet="3TrafficLights1" iconId="1"/>
              <x14:cfIcon iconSet="3Symbols" iconId="1"/>
              <x14:cfIcon iconSet="3TrafficLights1" iconId="0"/>
            </x14:iconSet>
          </x14:cfRule>
          <xm:sqref>F112</xm:sqref>
        </x14:conditionalFormatting>
        <x14:conditionalFormatting xmlns:xm="http://schemas.microsoft.com/office/excel/2006/main">
          <x14:cfRule type="iconSet" priority="138" id="{2D015C28-A558-48DC-A601-E32CC607237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Symbols" iconId="1"/>
              <x14:cfIcon iconSet="3TrafficLights1" iconId="2"/>
            </x14:iconSet>
          </x14:cfRule>
          <xm:sqref>F99</xm:sqref>
        </x14:conditionalFormatting>
        <x14:conditionalFormatting xmlns:xm="http://schemas.microsoft.com/office/excel/2006/main">
          <x14:cfRule type="iconSet" priority="40" id="{66AB9838-A7FB-4D29-BB45-C380EEF3CD4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F23</xm:sqref>
        </x14:conditionalFormatting>
        <x14:conditionalFormatting xmlns:xm="http://schemas.microsoft.com/office/excel/2006/main">
          <x14:cfRule type="iconSet" priority="39" id="{212985FA-E90A-4539-9344-448F08E8F587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2.7</xm:f>
              </x14:cfvo>
              <x14:cfIcon iconSet="4RedToBlack" iconId="1"/>
              <x14:cfIcon iconSet="3TrafficLights1" iconId="0"/>
              <x14:cfIcon iconSet="3Symbols" iconId="1"/>
              <x14:cfIcon iconSet="3TrafficLights1" iconId="2"/>
            </x14:iconSet>
          </x14:cfRule>
          <xm:sqref>F19</xm:sqref>
        </x14:conditionalFormatting>
        <x14:conditionalFormatting xmlns:xm="http://schemas.microsoft.com/office/excel/2006/main">
          <x14:cfRule type="iconSet" priority="38" id="{FDC7EDE5-4855-414C-A41D-B931628CA871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0"/>
              <x14:cfIcon iconSet="3TrafficLights1" iconId="1"/>
              <x14:cfIcon iconSet="3TrafficLights1" iconId="2"/>
            </x14:iconSet>
          </x14:cfRule>
          <xm:sqref>O19</xm:sqref>
        </x14:conditionalFormatting>
        <x14:conditionalFormatting xmlns:xm="http://schemas.microsoft.com/office/excel/2006/main">
          <x14:cfRule type="iconSet" priority="140" id="{2D5D15B4-6FDE-4178-B8A8-91BE15E873FC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1"/>
              <x14:cfIcon iconSet="3Symbols" iconId="1"/>
              <x14:cfIcon iconSet="3TrafficLights1" iconId="0"/>
            </x14:iconSet>
          </x14:cfRule>
          <xm:sqref>F136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6652-B347-461B-9ABB-2FDB5DE8AB6E}">
  <sheetPr codeName="Sheet3"/>
  <dimension ref="A1:AQ50"/>
  <sheetViews>
    <sheetView workbookViewId="0">
      <selection activeCell="C3" sqref="C3"/>
    </sheetView>
  </sheetViews>
  <sheetFormatPr defaultRowHeight="12.6"/>
  <cols>
    <col min="1" max="1" width="19.42578125" customWidth="1"/>
    <col min="2" max="33" width="16.5703125" customWidth="1"/>
    <col min="34" max="34" width="14.85546875" customWidth="1"/>
    <col min="35" max="35" width="12.140625" customWidth="1"/>
    <col min="36" max="36" width="12.42578125" customWidth="1"/>
    <col min="37" max="37" width="12.140625" customWidth="1"/>
    <col min="38" max="38" width="11.85546875" customWidth="1"/>
    <col min="39" max="39" width="19.140625" customWidth="1"/>
    <col min="40" max="40" width="13.140625" customWidth="1"/>
    <col min="41" max="43" width="16.5703125" customWidth="1"/>
  </cols>
  <sheetData>
    <row r="1" spans="1:43" ht="26.45" thickBot="1">
      <c r="A1" s="456" t="s">
        <v>118</v>
      </c>
      <c r="B1" s="457" t="s">
        <v>119</v>
      </c>
      <c r="C1" s="457" t="s">
        <v>120</v>
      </c>
      <c r="D1" s="457" t="s">
        <v>121</v>
      </c>
      <c r="E1" s="457" t="s">
        <v>122</v>
      </c>
      <c r="F1" s="457" t="s">
        <v>123</v>
      </c>
      <c r="G1" s="457" t="s">
        <v>124</v>
      </c>
      <c r="H1" s="457" t="s">
        <v>125</v>
      </c>
      <c r="I1" s="457" t="s">
        <v>126</v>
      </c>
      <c r="J1" s="457" t="s">
        <v>127</v>
      </c>
      <c r="K1" s="457" t="s">
        <v>128</v>
      </c>
      <c r="L1" s="457" t="s">
        <v>129</v>
      </c>
      <c r="M1" s="457" t="s">
        <v>130</v>
      </c>
      <c r="N1" s="457" t="s">
        <v>131</v>
      </c>
      <c r="O1" s="457" t="s">
        <v>132</v>
      </c>
      <c r="P1" s="457" t="s">
        <v>133</v>
      </c>
      <c r="Q1" s="457" t="s">
        <v>134</v>
      </c>
      <c r="R1" s="457" t="s">
        <v>135</v>
      </c>
      <c r="S1" s="457" t="s">
        <v>136</v>
      </c>
      <c r="T1" s="457" t="s">
        <v>137</v>
      </c>
      <c r="U1" s="457" t="s">
        <v>138</v>
      </c>
      <c r="V1" s="457" t="s">
        <v>139</v>
      </c>
      <c r="W1" s="457" t="s">
        <v>140</v>
      </c>
      <c r="X1" s="457" t="s">
        <v>141</v>
      </c>
      <c r="Y1" s="457" t="s">
        <v>142</v>
      </c>
      <c r="Z1" s="457" t="s">
        <v>143</v>
      </c>
      <c r="AA1" s="457" t="s">
        <v>144</v>
      </c>
      <c r="AB1" s="457" t="s">
        <v>145</v>
      </c>
      <c r="AC1" s="457" t="s">
        <v>146</v>
      </c>
      <c r="AD1" s="457" t="s">
        <v>111</v>
      </c>
      <c r="AE1" s="457" t="s">
        <v>12</v>
      </c>
      <c r="AF1" s="458" t="s">
        <v>147</v>
      </c>
      <c r="AG1" s="458" t="s">
        <v>148</v>
      </c>
      <c r="AH1" s="457" t="s">
        <v>73</v>
      </c>
      <c r="AI1" s="457" t="s">
        <v>149</v>
      </c>
      <c r="AJ1" s="457" t="s">
        <v>150</v>
      </c>
      <c r="AK1" s="457" t="s">
        <v>151</v>
      </c>
      <c r="AL1" s="457" t="s">
        <v>152</v>
      </c>
      <c r="AM1" s="457" t="s">
        <v>153</v>
      </c>
      <c r="AN1" s="457" t="s">
        <v>154</v>
      </c>
      <c r="AO1" s="457" t="s">
        <v>155</v>
      </c>
      <c r="AP1" s="459" t="s">
        <v>156</v>
      </c>
      <c r="AQ1" s="460" t="s">
        <v>157</v>
      </c>
    </row>
    <row r="2" spans="1:43" ht="68.849999999999994" customHeight="1" thickBot="1">
      <c r="A2" s="432">
        <f>'Fill out report  تعبئة التقرير'!F11</f>
        <v>0</v>
      </c>
      <c r="B2" s="471">
        <f>'Fill out report  تعبئة التقرير'!F13</f>
        <v>0</v>
      </c>
      <c r="C2" s="432">
        <f>'Fill out report  تعبئة التقرير'!F14</f>
        <v>0</v>
      </c>
      <c r="D2" s="433">
        <f>'Fill out report  تعبئة التقرير'!F12</f>
        <v>0</v>
      </c>
      <c r="E2" s="434">
        <f>'Fill out report  تعبئة التقرير'!P13</f>
        <v>0</v>
      </c>
      <c r="F2" s="434">
        <f>'Fill out report  تعبئة التقرير'!P14</f>
        <v>0</v>
      </c>
      <c r="G2" s="433">
        <f>'Fill out report  تعبئة التقرير'!P15</f>
        <v>0</v>
      </c>
      <c r="H2" s="434">
        <f>'Fill out report  تعبئة التقرير'!F15</f>
        <v>0</v>
      </c>
      <c r="I2" s="435">
        <f>'Fill out report  تعبئة التقرير'!P11</f>
        <v>0</v>
      </c>
      <c r="J2" s="435">
        <f>'Fill out report  تعبئة التقرير'!P12</f>
        <v>0</v>
      </c>
      <c r="K2" s="435">
        <f>'Fill out report  تعبئة التقرير'!P12</f>
        <v>0</v>
      </c>
      <c r="L2" s="436">
        <f>'Fill out report  تعبئة التقرير'!F16</f>
        <v>0</v>
      </c>
      <c r="M2" s="436">
        <f>'Fill out report  تعبئة التقرير'!F17</f>
        <v>0</v>
      </c>
      <c r="N2" s="436">
        <f ca="1">SUMIF(AJ2:AJ19, "&lt;=" &amp;TODAY(), AM2:AM19)</f>
        <v>0</v>
      </c>
      <c r="O2" s="436">
        <f>'Fill out report  تعبئة التقرير'!O19</f>
        <v>3</v>
      </c>
      <c r="P2" s="434">
        <f>IF('Fill out report  تعبئة التقرير'!G19= "وفق المخطط له  [On Track]",3, IF('Fill out report  تعبئة التقرير'!G19
= "تقريبا وفق المخطط له  [Generally On Track]",2, IF('Fill out report  تعبئة التقرير'!G19="خارج المخطط له  [ Off  Track]", 1, "")))</f>
        <v>3</v>
      </c>
      <c r="Q2" s="437">
        <f>'Fill out report  تعبئة التقرير'!F21</f>
        <v>3</v>
      </c>
      <c r="R2" s="437">
        <f>'Fill out report  تعبئة التقرير'!F22</f>
        <v>3</v>
      </c>
      <c r="S2" s="437">
        <f>'Fill out report  تعبئة التقرير'!F23</f>
        <v>3</v>
      </c>
      <c r="T2" s="438">
        <f>'Fill out report  تعبئة التقرير'!Q98</f>
        <v>0</v>
      </c>
      <c r="U2" s="438">
        <f>'Fill out report  تعبئة التقرير'!Q94</f>
        <v>0</v>
      </c>
      <c r="V2" s="438">
        <f>'Fill out report  تعبئة التقرير'!Q96</f>
        <v>0</v>
      </c>
      <c r="W2" s="437">
        <f>J2-I2</f>
        <v>0</v>
      </c>
      <c r="X2" s="437">
        <f>IF(AA2&gt;J2,AA2-I2,J2-I2)</f>
        <v>0</v>
      </c>
      <c r="Y2" s="437">
        <f>X2-W2</f>
        <v>0</v>
      </c>
      <c r="Z2" s="438">
        <f>V2-U2</f>
        <v>0</v>
      </c>
      <c r="AA2" s="439">
        <f>MAX(AJ2:AJ51)</f>
        <v>0</v>
      </c>
      <c r="AB2" s="440" t="str">
        <f xml:space="preserve"> IF('Fill out report  تعبئة التقرير'!F80="","",'Fill out report  تعبئة التقرير'!F80)</f>
        <v/>
      </c>
      <c r="AC2" s="440" t="str">
        <f xml:space="preserve"> IF('Fill out report  تعبئة التقرير'!M80="","",'Fill out report  تعبئة التقرير'!M80)</f>
        <v/>
      </c>
      <c r="AD2" s="441" t="str">
        <f>IF('Fill out report  تعبئة التقرير'!F120=3,"- "&amp;'Fill out report  تعبئة التقرير'!G120&amp;CHAR(10)," ")&amp;IF('Fill out report  تعبئة التقرير'!F121=3,"- "&amp;'Fill out report  تعبئة التقرير'!G121&amp;CHAR(10)," ")&amp;IF('Fill out report  تعبئة التقرير'!F122=3,"- "&amp;'Fill out report  تعبئة التقرير'!G122&amp;CHAR(10)," ")&amp;IF('Fill out report  تعبئة التقرير'!F123=3,"- "&amp;'Fill out report  تعبئة التقرير'!G123&amp;CHAR(10)," ")&amp;IF('Fill out report  تعبئة التقرير'!F124=3,"- "&amp;'Fill out report  تعبئة التقرير'!G124&amp;CHAR(10)," ")&amp;IF('Fill out report  تعبئة التقرير'!F125=3,"- "&amp;'Fill out report  تعبئة التقرير'!G125&amp;CHAR(10)," ")&amp;IF('Fill out report  تعبئة التقرير'!F126=3,"- "&amp;'Fill out report  تعبئة التقرير'!G126&amp;CHAR(10)," ")&amp;IF('Fill out report  تعبئة التقرير'!F127=3,"- "&amp;'Fill out report  تعبئة التقرير'!G127&amp;CHAR(10)," ")&amp;IF('Fill out report  تعبئة التقرير'!F128=3,"- "&amp;'Fill out report  تعبئة التقرير'!G128&amp;CHAR(10)," ")&amp;IF('Fill out report  تعبئة التقرير'!F129=3,"- "&amp;'Fill out report  تعبئة التقرير'!G129," ")</f>
        <v xml:space="preserve">          </v>
      </c>
      <c r="AE2" s="442" t="str">
        <f>IF('Fill out report  تعبئة التقرير'!F104&gt;9,"- "&amp;'Fill out report  تعبئة التقرير'!G104&amp;CHAR(10)," ")&amp;IF('Fill out report  تعبئة التقرير'!F105&gt;9,"- "&amp;'Fill out report  تعبئة التقرير'!G105&amp;CHAR(10)," ")&amp;IF('Fill out report  تعبئة التقرير'!F106&gt;9,"- "&amp;'Fill out report  تعبئة التقرير'!G106&amp;CHAR(10)," ")&amp;IF('Fill out report  تعبئة التقرير'!F107&gt;9,"- "&amp;'Fill out report  تعبئة التقرير'!G107&amp;CHAR(10)," ")&amp;IF('Fill out report  تعبئة التقرير'!F108&gt;9,"- "&amp;'Fill out report  تعبئة التقرير'!G108&amp;CHAR(10)," ")&amp;IF('Fill out report  تعبئة التقرير'!F109&gt;9,"- "&amp;'Fill out report  تعبئة التقرير'!G109&amp;CHAR(10)," ")&amp;IF('Fill out report  تعبئة التقرير'!F110&gt;9,"- "&amp;'Fill out report  تعبئة التقرير'!G110&amp;CHAR(10)," ")&amp;IF('Fill out report  تعبئة التقرير'!F111&gt;9,"- "&amp;'Fill out report  تعبئة التقرير'!G111&amp;CHAR(10)," ")&amp;IF('Fill out report  تعبئة التقرير'!F112&gt;9,"- "&amp;'Fill out report  تعبئة التقرير'!G112&amp;CHAR(10)," ")&amp;IF('Fill out report  تعبئة التقرير'!F113&gt;9,"- "&amp;'Fill out report  تعبئة التقرير'!G113," ")</f>
        <v xml:space="preserve">          </v>
      </c>
      <c r="AF2" s="434" t="str">
        <f xml:space="preserve"> IF('Fill out report  تعبئة التقرير'!G94="","",'Fill out report  تعبئة التقرير'!G94)</f>
        <v/>
      </c>
      <c r="AG2" s="441" t="str">
        <f>IF('Fill out report  تعبئة التقرير'!G134&lt;&gt;"","- "&amp;'Fill out report  تعبئة التقرير'!G134," ")&amp;
IF('Fill out report  تعبئة التقرير'!G135&lt;&gt;"",CHAR(10)&amp;"- "&amp;'Fill out report  تعبئة التقرير'!G135," ")&amp;
IF('Fill out report  تعبئة التقرير'!G136&lt;&gt;"",CHAR(10)&amp;"- "&amp;'Fill out report  تعبئة التقرير'!G136," ")</f>
        <v xml:space="preserve">   </v>
      </c>
      <c r="AH2" s="434" t="str">
        <f>IF('Fill out report  تعبئة التقرير'!E28 &gt;=" ",'Fill out report  تعبئة التقرير'!E28,"")</f>
        <v/>
      </c>
      <c r="AI2" s="435" t="str">
        <f>IF('Fill out report  تعبئة التقرير'!I28 &gt; 0,'Fill out report  تعبئة التقرير'!I28,"")</f>
        <v/>
      </c>
      <c r="AJ2" s="435" t="str">
        <f>IF('Fill out report  تعبئة التقرير'!J28 &gt; 0,'Fill out report  تعبئة التقرير'!J28,"")</f>
        <v/>
      </c>
      <c r="AK2" s="726">
        <f>IF('Fill out report  تعبئة التقرير'!K28 &gt;=0,'Fill out report  تعبئة التقرير'!K28,"")</f>
        <v>0</v>
      </c>
      <c r="AL2" s="435" t="str">
        <f>IF('Fill out report  تعبئة التقرير'!L28 &gt;=" ",'Fill out report  تعبئة التقرير'!L28,"")</f>
        <v/>
      </c>
      <c r="AM2" s="443" t="str">
        <f>IF('Fill out report  تعبئة التقرير'!O28 &gt; 0,'Fill out report  تعبئة التقرير'!O28,"")</f>
        <v/>
      </c>
      <c r="AN2" s="435" t="str">
        <f>IF('Fill out report  تعبئة التقرير'!Q28 &gt;=" ",'Fill out report  تعبئة التقرير'!Q28,"")</f>
        <v/>
      </c>
      <c r="AO2" s="727" t="str">
        <f ca="1">IF('Fill out report  تعبئة التقرير'!R28 &gt; 0,'Fill out report  تعبئة التقرير'!R28,"")</f>
        <v/>
      </c>
      <c r="AP2" s="444">
        <f>'Fill out report  تعبئة التقرير'!P16</f>
        <v>0</v>
      </c>
      <c r="AQ2" s="445">
        <f>'Fill out report  تعبئة التقرير'!P17</f>
        <v>0</v>
      </c>
    </row>
    <row r="3" spans="1:43" ht="11.85" customHeight="1" thickBot="1">
      <c r="A3" s="446"/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  <c r="N3" s="367"/>
      <c r="O3" s="367"/>
      <c r="P3" s="368"/>
      <c r="Q3" s="367"/>
      <c r="R3" s="367"/>
      <c r="S3" s="367"/>
      <c r="T3" s="367"/>
      <c r="U3" s="367"/>
      <c r="V3" s="367"/>
      <c r="W3" s="367"/>
      <c r="X3" s="367"/>
      <c r="Y3" s="367"/>
      <c r="Z3" s="367"/>
      <c r="AA3" s="367"/>
      <c r="AB3" s="369"/>
      <c r="AC3" s="367"/>
      <c r="AD3" s="367"/>
      <c r="AE3" s="367"/>
      <c r="AF3" s="429"/>
      <c r="AG3" s="369"/>
      <c r="AH3" s="431" t="str">
        <f>IF('Fill out report  تعبئة التقرير'!E29 &gt;=" ",'Fill out report  تعبئة التقرير'!E29,"")</f>
        <v/>
      </c>
      <c r="AI3" s="728" t="str">
        <f>IF('Fill out report  تعبئة التقرير'!I29 &gt; 0,'Fill out report  تعبئة التقرير'!I29,"")</f>
        <v/>
      </c>
      <c r="AJ3" s="728" t="str">
        <f>IF('Fill out report  تعبئة التقرير'!J29 &gt; 0,'Fill out report  تعبئة التقرير'!J29,"")</f>
        <v/>
      </c>
      <c r="AK3" s="729">
        <f>IF('Fill out report  تعبئة التقرير'!K29 &gt;=0,'Fill out report  تعبئة التقرير'!K29,"")</f>
        <v>0</v>
      </c>
      <c r="AL3" s="728" t="str">
        <f>IF('Fill out report  تعبئة التقرير'!L29 &gt;=" ",'Fill out report  تعبئة التقرير'!L29,"")</f>
        <v/>
      </c>
      <c r="AM3" s="430" t="str">
        <f>IF('Fill out report  تعبئة التقرير'!O29 &gt; 0,'Fill out report  تعبئة التقرير'!O29,"")</f>
        <v/>
      </c>
      <c r="AN3" s="728" t="str">
        <f>IF('Fill out report  تعبئة التقرير'!Q29 &gt;=" ",'Fill out report  تعبئة التقرير'!Q29,"")</f>
        <v/>
      </c>
      <c r="AO3" s="431" t="str">
        <f ca="1">IF('Fill out report  تعبئة التقرير'!R29 &gt; 0,'Fill out report  تعبئة التقرير'!R29,"")</f>
        <v/>
      </c>
      <c r="AP3" s="367"/>
      <c r="AQ3" s="447"/>
    </row>
    <row r="4" spans="1:43" ht="11.85" customHeight="1" thickBot="1">
      <c r="A4" s="446"/>
      <c r="B4" s="367"/>
      <c r="C4" s="367"/>
      <c r="D4" s="367"/>
      <c r="E4" s="367"/>
      <c r="F4" s="367"/>
      <c r="G4" s="367"/>
      <c r="H4" s="367"/>
      <c r="I4" s="367"/>
      <c r="J4" s="367"/>
      <c r="K4" s="367"/>
      <c r="L4" s="367"/>
      <c r="M4" s="367"/>
      <c r="N4" s="367"/>
      <c r="O4" s="367"/>
      <c r="P4" s="367"/>
      <c r="Q4" s="367"/>
      <c r="R4" s="367"/>
      <c r="S4" s="367"/>
      <c r="T4" s="367"/>
      <c r="U4" s="367"/>
      <c r="V4" s="367"/>
      <c r="W4" s="367"/>
      <c r="X4" s="367"/>
      <c r="Y4" s="367"/>
      <c r="Z4" s="367"/>
      <c r="AA4" s="367"/>
      <c r="AB4" s="367"/>
      <c r="AC4" s="367"/>
      <c r="AD4" s="367"/>
      <c r="AE4" s="367"/>
      <c r="AF4" s="367"/>
      <c r="AG4" s="367"/>
      <c r="AH4" s="431" t="str">
        <f>IF('Fill out report  تعبئة التقرير'!E30 &gt;=" ",'Fill out report  تعبئة التقرير'!E30,"")</f>
        <v/>
      </c>
      <c r="AI4" s="728" t="str">
        <f>IF('Fill out report  تعبئة التقرير'!I30 &gt; 0,'Fill out report  تعبئة التقرير'!I30,"")</f>
        <v/>
      </c>
      <c r="AJ4" s="728" t="str">
        <f>IF('Fill out report  تعبئة التقرير'!J30 &gt; 0,'Fill out report  تعبئة التقرير'!J30,"")</f>
        <v/>
      </c>
      <c r="AK4" s="729">
        <f>IF('Fill out report  تعبئة التقرير'!K30 &gt;=0,'Fill out report  تعبئة التقرير'!K30,"")</f>
        <v>0</v>
      </c>
      <c r="AL4" s="728" t="str">
        <f>IF('Fill out report  تعبئة التقرير'!L30 &gt;=" ",'Fill out report  تعبئة التقرير'!L30,"")</f>
        <v/>
      </c>
      <c r="AM4" s="430" t="str">
        <f>IF('Fill out report  تعبئة التقرير'!O30 &gt; 0,'Fill out report  تعبئة التقرير'!O30,"")</f>
        <v/>
      </c>
      <c r="AN4" s="728" t="str">
        <f>IF('Fill out report  تعبئة التقرير'!Q30 &gt;=" ",'Fill out report  تعبئة التقرير'!Q30,"")</f>
        <v/>
      </c>
      <c r="AO4" s="431" t="str">
        <f ca="1">IF('Fill out report  تعبئة التقرير'!R30 &gt; 0,'Fill out report  تعبئة التقرير'!R30,"")</f>
        <v/>
      </c>
      <c r="AP4" s="367"/>
      <c r="AQ4" s="447"/>
    </row>
    <row r="5" spans="1:43" ht="11.85" customHeight="1" thickBot="1">
      <c r="A5" s="446"/>
      <c r="B5" s="367"/>
      <c r="C5" s="367"/>
      <c r="D5" s="367"/>
      <c r="E5" s="367"/>
      <c r="F5" s="367"/>
      <c r="G5" s="367"/>
      <c r="H5" s="367"/>
      <c r="I5" s="367"/>
      <c r="J5" s="368"/>
      <c r="K5" s="367"/>
      <c r="L5" s="367"/>
      <c r="M5" s="367"/>
      <c r="N5" s="367"/>
      <c r="O5" s="367"/>
      <c r="P5" s="367"/>
      <c r="Q5" s="367"/>
      <c r="R5" s="367"/>
      <c r="S5" s="367"/>
      <c r="T5" s="367"/>
      <c r="U5" s="367"/>
      <c r="V5" s="367"/>
      <c r="W5" s="367"/>
      <c r="X5" s="367"/>
      <c r="Y5" s="367"/>
      <c r="Z5" s="367"/>
      <c r="AA5" s="367"/>
      <c r="AB5" s="367"/>
      <c r="AC5" s="367"/>
      <c r="AD5" s="367"/>
      <c r="AE5" s="367"/>
      <c r="AF5" s="367"/>
      <c r="AG5" s="367"/>
      <c r="AH5" s="431" t="str">
        <f>IF('Fill out report  تعبئة التقرير'!E31 &gt;=" ",'Fill out report  تعبئة التقرير'!E31,"")</f>
        <v/>
      </c>
      <c r="AI5" s="728" t="str">
        <f>IF('Fill out report  تعبئة التقرير'!I31 &gt; 0,'Fill out report  تعبئة التقرير'!I31,"")</f>
        <v/>
      </c>
      <c r="AJ5" s="728" t="str">
        <f>IF('Fill out report  تعبئة التقرير'!J31 &gt; 0,'Fill out report  تعبئة التقرير'!J31,"")</f>
        <v/>
      </c>
      <c r="AK5" s="729">
        <f>IF('Fill out report  تعبئة التقرير'!K31 &gt;=0,'Fill out report  تعبئة التقرير'!K31,"")</f>
        <v>0</v>
      </c>
      <c r="AL5" s="728" t="str">
        <f>IF('Fill out report  تعبئة التقرير'!L31 &gt;=" ",'Fill out report  تعبئة التقرير'!L31,"")</f>
        <v/>
      </c>
      <c r="AM5" s="430" t="str">
        <f>IF('Fill out report  تعبئة التقرير'!O31 &gt; 0,'Fill out report  تعبئة التقرير'!O31,"")</f>
        <v/>
      </c>
      <c r="AN5" s="728" t="str">
        <f>IF('Fill out report  تعبئة التقرير'!Q31 &gt;=" ",'Fill out report  تعبئة التقرير'!Q31,"")</f>
        <v/>
      </c>
      <c r="AO5" s="431" t="str">
        <f ca="1">IF('Fill out report  تعبئة التقرير'!R31 &gt; 0,'Fill out report  تعبئة التقرير'!R31,"")</f>
        <v/>
      </c>
      <c r="AP5" s="367"/>
      <c r="AQ5" s="447"/>
    </row>
    <row r="6" spans="1:43" ht="11.85" customHeight="1" thickBot="1">
      <c r="A6" s="446"/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67"/>
      <c r="M6" s="367"/>
      <c r="N6" s="367"/>
      <c r="O6" s="367"/>
      <c r="P6" s="367"/>
      <c r="Q6" s="367"/>
      <c r="R6" s="367"/>
      <c r="S6" s="367"/>
      <c r="T6" s="367"/>
      <c r="U6" s="367"/>
      <c r="V6" s="367"/>
      <c r="W6" s="367"/>
      <c r="X6" s="367"/>
      <c r="Y6" s="367"/>
      <c r="Z6" s="367"/>
      <c r="AA6" s="367"/>
      <c r="AB6" s="367"/>
      <c r="AC6" s="367"/>
      <c r="AD6" s="367"/>
      <c r="AE6" s="367"/>
      <c r="AF6" s="367"/>
      <c r="AG6" s="367"/>
      <c r="AH6" s="431" t="str">
        <f>IF('Fill out report  تعبئة التقرير'!E32 &gt;=" ",'Fill out report  تعبئة التقرير'!E32,"")</f>
        <v/>
      </c>
      <c r="AI6" s="728" t="str">
        <f>IF('Fill out report  تعبئة التقرير'!I32 &gt; 0,'Fill out report  تعبئة التقرير'!I32,"")</f>
        <v/>
      </c>
      <c r="AJ6" s="728" t="str">
        <f>IF('Fill out report  تعبئة التقرير'!J32 &gt; 0,'Fill out report  تعبئة التقرير'!J32,"")</f>
        <v/>
      </c>
      <c r="AK6" s="729">
        <f>IF('Fill out report  تعبئة التقرير'!K32 &gt;=0,'Fill out report  تعبئة التقرير'!K32,"")</f>
        <v>0</v>
      </c>
      <c r="AL6" s="728" t="str">
        <f>IF('Fill out report  تعبئة التقرير'!L32 &gt;=" ",'Fill out report  تعبئة التقرير'!L32,"")</f>
        <v/>
      </c>
      <c r="AM6" s="430" t="str">
        <f>IF('Fill out report  تعبئة التقرير'!O32 &gt; 0,'Fill out report  تعبئة التقرير'!O32,"")</f>
        <v/>
      </c>
      <c r="AN6" s="728" t="str">
        <f>IF('Fill out report  تعبئة التقرير'!Q32 &gt;=" ",'Fill out report  تعبئة التقرير'!Q32,"")</f>
        <v/>
      </c>
      <c r="AO6" s="431" t="str">
        <f ca="1">IF('Fill out report  تعبئة التقرير'!R32 &gt; 0,'Fill out report  تعبئة التقرير'!R32,"")</f>
        <v/>
      </c>
      <c r="AP6" s="367"/>
      <c r="AQ6" s="447"/>
    </row>
    <row r="7" spans="1:43" ht="11.85" customHeight="1" thickBot="1">
      <c r="A7" s="44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7"/>
      <c r="M7" s="367"/>
      <c r="N7" s="367"/>
      <c r="O7" s="367"/>
      <c r="P7" s="367"/>
      <c r="Q7" s="367"/>
      <c r="R7" s="367"/>
      <c r="S7" s="367"/>
      <c r="T7" s="367"/>
      <c r="U7" s="367"/>
      <c r="V7" s="367"/>
      <c r="W7" s="367"/>
      <c r="X7" s="367"/>
      <c r="Y7" s="367"/>
      <c r="Z7" s="367"/>
      <c r="AA7" s="367"/>
      <c r="AB7" s="367"/>
      <c r="AC7" s="367"/>
      <c r="AD7" s="367"/>
      <c r="AE7" s="367"/>
      <c r="AF7" s="367"/>
      <c r="AG7" s="367"/>
      <c r="AH7" s="431" t="str">
        <f>IF('Fill out report  تعبئة التقرير'!E33 &gt;=" ",'Fill out report  تعبئة التقرير'!E33,"")</f>
        <v/>
      </c>
      <c r="AI7" s="728" t="str">
        <f>IF('Fill out report  تعبئة التقرير'!I33 &gt; 0,'Fill out report  تعبئة التقرير'!I33,"")</f>
        <v/>
      </c>
      <c r="AJ7" s="728" t="str">
        <f>IF('Fill out report  تعبئة التقرير'!J33 &gt; 0,'Fill out report  تعبئة التقرير'!J33,"")</f>
        <v/>
      </c>
      <c r="AK7" s="729">
        <f>IF('Fill out report  تعبئة التقرير'!K33 &gt;=0,'Fill out report  تعبئة التقرير'!K33,"")</f>
        <v>0</v>
      </c>
      <c r="AL7" s="728" t="str">
        <f>IF('Fill out report  تعبئة التقرير'!L33 &gt;=" ",'Fill out report  تعبئة التقرير'!L33,"")</f>
        <v/>
      </c>
      <c r="AM7" s="430" t="str">
        <f>IF('Fill out report  تعبئة التقرير'!O33 &gt; 0,'Fill out report  تعبئة التقرير'!O33,"")</f>
        <v/>
      </c>
      <c r="AN7" s="728" t="str">
        <f>IF('Fill out report  تعبئة التقرير'!Q33 &gt;=" ",'Fill out report  تعبئة التقرير'!Q33,"")</f>
        <v/>
      </c>
      <c r="AO7" s="431" t="str">
        <f ca="1">IF('Fill out report  تعبئة التقرير'!R33 &gt; 0,'Fill out report  تعبئة التقرير'!R33,"")</f>
        <v/>
      </c>
      <c r="AP7" s="367"/>
      <c r="AQ7" s="447"/>
    </row>
    <row r="8" spans="1:43" ht="11.85" customHeight="1" thickBot="1">
      <c r="A8" s="446"/>
      <c r="B8" s="367"/>
      <c r="C8" s="367"/>
      <c r="D8" s="367"/>
      <c r="E8" s="367"/>
      <c r="F8" s="367"/>
      <c r="G8" s="367"/>
      <c r="H8" s="367"/>
      <c r="I8" s="367"/>
      <c r="J8" s="367"/>
      <c r="K8" s="367"/>
      <c r="L8" s="367"/>
      <c r="M8" s="367"/>
      <c r="N8" s="367"/>
      <c r="O8" s="367"/>
      <c r="P8" s="367"/>
      <c r="Q8" s="367"/>
      <c r="R8" s="367"/>
      <c r="S8" s="367"/>
      <c r="T8" s="367"/>
      <c r="U8" s="367"/>
      <c r="V8" s="367"/>
      <c r="W8" s="367"/>
      <c r="X8" s="367"/>
      <c r="Y8" s="367"/>
      <c r="Z8" s="367"/>
      <c r="AA8" s="367"/>
      <c r="AB8" s="367"/>
      <c r="AC8" s="367"/>
      <c r="AD8" s="367"/>
      <c r="AE8" s="367"/>
      <c r="AF8" s="367"/>
      <c r="AG8" s="367"/>
      <c r="AH8" s="431" t="str">
        <f>IF('Fill out report  تعبئة التقرير'!E34 &gt;=" ",'Fill out report  تعبئة التقرير'!E34,"")</f>
        <v/>
      </c>
      <c r="AI8" s="728" t="str">
        <f>IF('Fill out report  تعبئة التقرير'!I34 &gt; 0,'Fill out report  تعبئة التقرير'!I34,"")</f>
        <v/>
      </c>
      <c r="AJ8" s="728" t="str">
        <f>IF('Fill out report  تعبئة التقرير'!J34 &gt; 0,'Fill out report  تعبئة التقرير'!J34,"")</f>
        <v/>
      </c>
      <c r="AK8" s="729">
        <f>IF('Fill out report  تعبئة التقرير'!K34 &gt;=0,'Fill out report  تعبئة التقرير'!K34,"")</f>
        <v>0</v>
      </c>
      <c r="AL8" s="728" t="str">
        <f>IF('Fill out report  تعبئة التقرير'!L34 &gt;=" ",'Fill out report  تعبئة التقرير'!L34,"")</f>
        <v/>
      </c>
      <c r="AM8" s="430" t="str">
        <f>IF('Fill out report  تعبئة التقرير'!O34 &gt; 0,'Fill out report  تعبئة التقرير'!O34,"")</f>
        <v/>
      </c>
      <c r="AN8" s="728" t="str">
        <f>IF('Fill out report  تعبئة التقرير'!Q34 &gt;=" ",'Fill out report  تعبئة التقرير'!Q34,"")</f>
        <v/>
      </c>
      <c r="AO8" s="431" t="str">
        <f ca="1">IF('Fill out report  تعبئة التقرير'!R34 &gt; 0,'Fill out report  تعبئة التقرير'!R34,"")</f>
        <v/>
      </c>
      <c r="AP8" s="367"/>
      <c r="AQ8" s="447"/>
    </row>
    <row r="9" spans="1:43" ht="11.85" customHeight="1" thickBot="1">
      <c r="A9" s="446"/>
      <c r="B9" s="367"/>
      <c r="C9" s="367"/>
      <c r="D9" s="367"/>
      <c r="E9" s="367"/>
      <c r="F9" s="367"/>
      <c r="G9" s="367"/>
      <c r="H9" s="367"/>
      <c r="I9" s="367"/>
      <c r="J9" s="367"/>
      <c r="K9" s="367"/>
      <c r="L9" s="367"/>
      <c r="M9" s="367"/>
      <c r="N9" s="367"/>
      <c r="O9" s="367"/>
      <c r="P9" s="367"/>
      <c r="Q9" s="367"/>
      <c r="R9" s="367"/>
      <c r="S9" s="367"/>
      <c r="T9" s="367"/>
      <c r="U9" s="367"/>
      <c r="V9" s="367"/>
      <c r="W9" s="367"/>
      <c r="X9" s="367"/>
      <c r="Y9" s="367"/>
      <c r="Z9" s="367"/>
      <c r="AA9" s="367"/>
      <c r="AB9" s="367"/>
      <c r="AC9" s="367"/>
      <c r="AD9" s="367"/>
      <c r="AE9" s="367"/>
      <c r="AF9" s="367"/>
      <c r="AG9" s="367"/>
      <c r="AH9" s="431" t="str">
        <f>IF('Fill out report  تعبئة التقرير'!E35 &gt;=" ",'Fill out report  تعبئة التقرير'!E35,"")</f>
        <v/>
      </c>
      <c r="AI9" s="728" t="str">
        <f>IF('Fill out report  تعبئة التقرير'!I35 &gt; 0,'Fill out report  تعبئة التقرير'!I35,"")</f>
        <v/>
      </c>
      <c r="AJ9" s="728" t="str">
        <f>IF('Fill out report  تعبئة التقرير'!J35 &gt; 0,'Fill out report  تعبئة التقرير'!J35,"")</f>
        <v/>
      </c>
      <c r="AK9" s="729">
        <f>IF('Fill out report  تعبئة التقرير'!K35 &gt;=0,'Fill out report  تعبئة التقرير'!K35,"")</f>
        <v>0</v>
      </c>
      <c r="AL9" s="728" t="str">
        <f>IF('Fill out report  تعبئة التقرير'!L35 &gt;=" ",'Fill out report  تعبئة التقرير'!L35,"")</f>
        <v/>
      </c>
      <c r="AM9" s="430" t="str">
        <f>IF('Fill out report  تعبئة التقرير'!O35 &gt; 0,'Fill out report  تعبئة التقرير'!O35,"")</f>
        <v/>
      </c>
      <c r="AN9" s="728" t="str">
        <f>IF('Fill out report  تعبئة التقرير'!Q35 &gt;=" ",'Fill out report  تعبئة التقرير'!Q35,"")</f>
        <v/>
      </c>
      <c r="AO9" s="431" t="str">
        <f ca="1">IF('Fill out report  تعبئة التقرير'!R35 &gt; 0,'Fill out report  تعبئة التقرير'!R35,"")</f>
        <v/>
      </c>
      <c r="AP9" s="367"/>
      <c r="AQ9" s="447"/>
    </row>
    <row r="10" spans="1:43" ht="11.85" customHeight="1" thickBot="1">
      <c r="A10" s="446"/>
      <c r="B10" s="367"/>
      <c r="C10" s="367"/>
      <c r="D10" s="367"/>
      <c r="E10" s="367"/>
      <c r="F10" s="367"/>
      <c r="G10" s="367"/>
      <c r="H10" s="367"/>
      <c r="I10" s="367"/>
      <c r="J10" s="367"/>
      <c r="K10" s="367"/>
      <c r="L10" s="367"/>
      <c r="M10" s="367"/>
      <c r="N10" s="367"/>
      <c r="O10" s="367"/>
      <c r="P10" s="367"/>
      <c r="Q10" s="367"/>
      <c r="R10" s="367"/>
      <c r="S10" s="367"/>
      <c r="T10" s="367"/>
      <c r="U10" s="367"/>
      <c r="V10" s="367"/>
      <c r="W10" s="367"/>
      <c r="X10" s="367"/>
      <c r="Y10" s="367"/>
      <c r="Z10" s="367"/>
      <c r="AA10" s="367"/>
      <c r="AB10" s="367"/>
      <c r="AC10" s="367"/>
      <c r="AD10" s="367"/>
      <c r="AE10" s="367"/>
      <c r="AF10" s="367"/>
      <c r="AG10" s="367"/>
      <c r="AH10" s="431" t="str">
        <f>IF('Fill out report  تعبئة التقرير'!E36 &gt;=" ",'Fill out report  تعبئة التقرير'!E36,"")</f>
        <v/>
      </c>
      <c r="AI10" s="728" t="str">
        <f>IF('Fill out report  تعبئة التقرير'!I36 &gt; 0,'Fill out report  تعبئة التقرير'!I36,"")</f>
        <v/>
      </c>
      <c r="AJ10" s="728" t="str">
        <f>IF('Fill out report  تعبئة التقرير'!J36 &gt; 0,'Fill out report  تعبئة التقرير'!J36,"")</f>
        <v/>
      </c>
      <c r="AK10" s="729">
        <f>IF('Fill out report  تعبئة التقرير'!K36 &gt;=0,'Fill out report  تعبئة التقرير'!K36,"")</f>
        <v>0</v>
      </c>
      <c r="AL10" s="728" t="str">
        <f>IF('Fill out report  تعبئة التقرير'!L36 &gt;=" ",'Fill out report  تعبئة التقرير'!L36,"")</f>
        <v/>
      </c>
      <c r="AM10" s="430" t="str">
        <f>IF('Fill out report  تعبئة التقرير'!O36 &gt; 0,'Fill out report  تعبئة التقرير'!O36,"")</f>
        <v/>
      </c>
      <c r="AN10" s="728" t="str">
        <f>IF('Fill out report  تعبئة التقرير'!Q36 &gt;=" ",'Fill out report  تعبئة التقرير'!Q36,"")</f>
        <v/>
      </c>
      <c r="AO10" s="431" t="str">
        <f ca="1">IF('Fill out report  تعبئة التقرير'!R36 &gt; 0,'Fill out report  تعبئة التقرير'!R36,"")</f>
        <v/>
      </c>
      <c r="AP10" s="367"/>
      <c r="AQ10" s="447"/>
    </row>
    <row r="11" spans="1:43" ht="11.85" customHeight="1" thickBot="1">
      <c r="A11" s="446"/>
      <c r="B11" s="367"/>
      <c r="C11" s="367"/>
      <c r="D11" s="367"/>
      <c r="E11" s="367"/>
      <c r="F11" s="367"/>
      <c r="G11" s="367"/>
      <c r="H11" s="367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7"/>
      <c r="V11" s="367"/>
      <c r="W11" s="367"/>
      <c r="X11" s="367"/>
      <c r="Y11" s="367"/>
      <c r="Z11" s="367"/>
      <c r="AA11" s="367"/>
      <c r="AB11" s="367"/>
      <c r="AC11" s="367"/>
      <c r="AD11" s="367"/>
      <c r="AE11" s="367"/>
      <c r="AF11" s="367"/>
      <c r="AG11" s="367"/>
      <c r="AH11" s="431" t="str">
        <f>IF('Fill out report  تعبئة التقرير'!E37 &gt;=" ",'Fill out report  تعبئة التقرير'!E37,"")</f>
        <v/>
      </c>
      <c r="AI11" s="728" t="str">
        <f>IF('Fill out report  تعبئة التقرير'!I37 &gt; 0,'Fill out report  تعبئة التقرير'!I37,"")</f>
        <v/>
      </c>
      <c r="AJ11" s="728" t="str">
        <f>IF('Fill out report  تعبئة التقرير'!J37 &gt; 0,'Fill out report  تعبئة التقرير'!J37,"")</f>
        <v/>
      </c>
      <c r="AK11" s="729">
        <f>IF('Fill out report  تعبئة التقرير'!K37 &gt;=0,'Fill out report  تعبئة التقرير'!K37,"")</f>
        <v>0</v>
      </c>
      <c r="AL11" s="728" t="str">
        <f>IF('Fill out report  تعبئة التقرير'!L37 &gt;=" ",'Fill out report  تعبئة التقرير'!L37,"")</f>
        <v/>
      </c>
      <c r="AM11" s="430" t="str">
        <f>IF('Fill out report  تعبئة التقرير'!O37 &gt; 0,'Fill out report  تعبئة التقرير'!O37,"")</f>
        <v/>
      </c>
      <c r="AN11" s="728" t="str">
        <f>IF('Fill out report  تعبئة التقرير'!Q37 &gt;=" ",'Fill out report  تعبئة التقرير'!Q37,"")</f>
        <v/>
      </c>
      <c r="AO11" s="431" t="str">
        <f ca="1">IF('Fill out report  تعبئة التقرير'!R37 &gt; 0,'Fill out report  تعبئة التقرير'!R37,"")</f>
        <v/>
      </c>
      <c r="AP11" s="367"/>
      <c r="AQ11" s="447"/>
    </row>
    <row r="12" spans="1:43" ht="11.85" customHeight="1" thickBot="1">
      <c r="A12" s="446"/>
      <c r="B12" s="367"/>
      <c r="C12" s="367"/>
      <c r="D12" s="367"/>
      <c r="E12" s="367"/>
      <c r="F12" s="367"/>
      <c r="G12" s="367"/>
      <c r="H12" s="367"/>
      <c r="I12" s="367"/>
      <c r="J12" s="367"/>
      <c r="K12" s="367"/>
      <c r="L12" s="367"/>
      <c r="M12" s="367"/>
      <c r="N12" s="367"/>
      <c r="O12" s="367"/>
      <c r="P12" s="367"/>
      <c r="Q12" s="367"/>
      <c r="R12" s="367"/>
      <c r="S12" s="367"/>
      <c r="T12" s="367"/>
      <c r="U12" s="367"/>
      <c r="V12" s="367"/>
      <c r="W12" s="367"/>
      <c r="X12" s="367"/>
      <c r="Y12" s="367"/>
      <c r="Z12" s="367"/>
      <c r="AA12" s="367"/>
      <c r="AB12" s="367"/>
      <c r="AC12" s="367"/>
      <c r="AD12" s="367"/>
      <c r="AE12" s="367"/>
      <c r="AF12" s="367"/>
      <c r="AG12" s="367"/>
      <c r="AH12" s="431" t="str">
        <f>IF('Fill out report  تعبئة التقرير'!E38 &gt;=" ",'Fill out report  تعبئة التقرير'!E38,"")</f>
        <v/>
      </c>
      <c r="AI12" s="728" t="str">
        <f>IF('Fill out report  تعبئة التقرير'!I38 &gt; 0,'Fill out report  تعبئة التقرير'!I38,"")</f>
        <v/>
      </c>
      <c r="AJ12" s="728" t="str">
        <f>IF('Fill out report  تعبئة التقرير'!J38 &gt; 0,'Fill out report  تعبئة التقرير'!J38,"")</f>
        <v/>
      </c>
      <c r="AK12" s="729">
        <f>IF('Fill out report  تعبئة التقرير'!K38 &gt;=0,'Fill out report  تعبئة التقرير'!K38,"")</f>
        <v>0</v>
      </c>
      <c r="AL12" s="728" t="str">
        <f>IF('Fill out report  تعبئة التقرير'!L38 &gt;=" ",'Fill out report  تعبئة التقرير'!L38,"")</f>
        <v/>
      </c>
      <c r="AM12" s="430" t="str">
        <f>IF('Fill out report  تعبئة التقرير'!O38 &gt; 0,'Fill out report  تعبئة التقرير'!O38,"")</f>
        <v/>
      </c>
      <c r="AN12" s="728" t="str">
        <f>IF('Fill out report  تعبئة التقرير'!Q38 &gt;=" ",'Fill out report  تعبئة التقرير'!Q38,"")</f>
        <v/>
      </c>
      <c r="AO12" s="431" t="str">
        <f ca="1">IF('Fill out report  تعبئة التقرير'!R38 &gt; 0,'Fill out report  تعبئة التقرير'!R38,"")</f>
        <v/>
      </c>
      <c r="AP12" s="367"/>
      <c r="AQ12" s="447"/>
    </row>
    <row r="13" spans="1:43" ht="11.85" customHeight="1" thickBot="1">
      <c r="A13" s="446"/>
      <c r="B13" s="367"/>
      <c r="C13" s="367"/>
      <c r="D13" s="367"/>
      <c r="E13" s="367"/>
      <c r="F13" s="367"/>
      <c r="G13" s="367"/>
      <c r="H13" s="367"/>
      <c r="I13" s="367"/>
      <c r="J13" s="367"/>
      <c r="K13" s="367"/>
      <c r="L13" s="367"/>
      <c r="M13" s="367"/>
      <c r="N13" s="367"/>
      <c r="O13" s="367"/>
      <c r="P13" s="367"/>
      <c r="Q13" s="367"/>
      <c r="R13" s="367"/>
      <c r="S13" s="367"/>
      <c r="T13" s="367"/>
      <c r="U13" s="367"/>
      <c r="V13" s="367"/>
      <c r="W13" s="367"/>
      <c r="X13" s="367"/>
      <c r="Y13" s="367"/>
      <c r="Z13" s="367"/>
      <c r="AA13" s="367"/>
      <c r="AB13" s="367"/>
      <c r="AC13" s="367"/>
      <c r="AD13" s="367"/>
      <c r="AE13" s="367"/>
      <c r="AF13" s="367"/>
      <c r="AG13" s="367"/>
      <c r="AH13" s="431" t="str">
        <f>IF('Fill out report  تعبئة التقرير'!E39 &gt;=" ",'Fill out report  تعبئة التقرير'!E39,"")</f>
        <v/>
      </c>
      <c r="AI13" s="728" t="str">
        <f>IF('Fill out report  تعبئة التقرير'!I39 &gt; 0,'Fill out report  تعبئة التقرير'!I39,"")</f>
        <v/>
      </c>
      <c r="AJ13" s="728" t="str">
        <f>IF('Fill out report  تعبئة التقرير'!J39 &gt; 0,'Fill out report  تعبئة التقرير'!J39,"")</f>
        <v/>
      </c>
      <c r="AK13" s="729">
        <f>IF('Fill out report  تعبئة التقرير'!K39 &gt;=0,'Fill out report  تعبئة التقرير'!K39,"")</f>
        <v>0</v>
      </c>
      <c r="AL13" s="728" t="str">
        <f>IF('Fill out report  تعبئة التقرير'!L39 &gt;=" ",'Fill out report  تعبئة التقرير'!L39,"")</f>
        <v/>
      </c>
      <c r="AM13" s="430" t="str">
        <f>IF('Fill out report  تعبئة التقرير'!O39 &gt; 0,'Fill out report  تعبئة التقرير'!O39,"")</f>
        <v/>
      </c>
      <c r="AN13" s="728" t="str">
        <f>IF('Fill out report  تعبئة التقرير'!Q39 &gt;=" ",'Fill out report  تعبئة التقرير'!Q39,"")</f>
        <v/>
      </c>
      <c r="AO13" s="431" t="str">
        <f ca="1">IF('Fill out report  تعبئة التقرير'!R39 &gt; 0,'Fill out report  تعبئة التقرير'!R39,"")</f>
        <v/>
      </c>
      <c r="AP13" s="367"/>
      <c r="AQ13" s="447"/>
    </row>
    <row r="14" spans="1:43" ht="11.85" customHeight="1" thickBot="1">
      <c r="A14" s="446"/>
      <c r="B14" s="367"/>
      <c r="C14" s="367"/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7"/>
      <c r="Q14" s="367"/>
      <c r="R14" s="367"/>
      <c r="S14" s="367"/>
      <c r="T14" s="367"/>
      <c r="U14" s="367"/>
      <c r="V14" s="367"/>
      <c r="W14" s="367"/>
      <c r="X14" s="367"/>
      <c r="Y14" s="367"/>
      <c r="Z14" s="367"/>
      <c r="AA14" s="367"/>
      <c r="AB14" s="367"/>
      <c r="AC14" s="367"/>
      <c r="AD14" s="367"/>
      <c r="AE14" s="367"/>
      <c r="AF14" s="367"/>
      <c r="AG14" s="367"/>
      <c r="AH14" s="431" t="str">
        <f>IF('Fill out report  تعبئة التقرير'!E40 &gt;=" ",'Fill out report  تعبئة التقرير'!E40,"")</f>
        <v/>
      </c>
      <c r="AI14" s="728" t="str">
        <f>IF('Fill out report  تعبئة التقرير'!I40 &gt; 0,'Fill out report  تعبئة التقرير'!I40,"")</f>
        <v/>
      </c>
      <c r="AJ14" s="728" t="str">
        <f>IF('Fill out report  تعبئة التقرير'!J40 &gt; 0,'Fill out report  تعبئة التقرير'!J40,"")</f>
        <v/>
      </c>
      <c r="AK14" s="729">
        <f>IF('Fill out report  تعبئة التقرير'!K40 &gt;=0,'Fill out report  تعبئة التقرير'!K40,"")</f>
        <v>0</v>
      </c>
      <c r="AL14" s="728" t="str">
        <f>IF('Fill out report  تعبئة التقرير'!L40 &gt;=" ",'Fill out report  تعبئة التقرير'!L40,"")</f>
        <v/>
      </c>
      <c r="AM14" s="430" t="str">
        <f>IF('Fill out report  تعبئة التقرير'!O40 &gt; 0,'Fill out report  تعبئة التقرير'!O40,"")</f>
        <v/>
      </c>
      <c r="AN14" s="728" t="str">
        <f>IF('Fill out report  تعبئة التقرير'!Q40 &gt;=" ",'Fill out report  تعبئة التقرير'!Q40,"")</f>
        <v/>
      </c>
      <c r="AO14" s="431" t="str">
        <f ca="1">IF('Fill out report  تعبئة التقرير'!R40 &gt; 0,'Fill out report  تعبئة التقرير'!R40,"")</f>
        <v/>
      </c>
      <c r="AP14" s="367"/>
      <c r="AQ14" s="447"/>
    </row>
    <row r="15" spans="1:43" ht="11.85" customHeight="1" thickBot="1">
      <c r="A15" s="446"/>
      <c r="B15" s="367"/>
      <c r="C15" s="367"/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7"/>
      <c r="Q15" s="367"/>
      <c r="R15" s="367"/>
      <c r="S15" s="367"/>
      <c r="T15" s="367"/>
      <c r="U15" s="367"/>
      <c r="V15" s="367"/>
      <c r="W15" s="367"/>
      <c r="X15" s="367"/>
      <c r="Y15" s="367"/>
      <c r="Z15" s="367"/>
      <c r="AA15" s="367"/>
      <c r="AB15" s="367"/>
      <c r="AC15" s="367"/>
      <c r="AD15" s="367"/>
      <c r="AE15" s="367"/>
      <c r="AF15" s="367"/>
      <c r="AG15" s="367"/>
      <c r="AH15" s="431" t="str">
        <f>IF('Fill out report  تعبئة التقرير'!E41 &gt;=" ",'Fill out report  تعبئة التقرير'!E41,"")</f>
        <v/>
      </c>
      <c r="AI15" s="728" t="str">
        <f>IF('Fill out report  تعبئة التقرير'!I41 &gt; 0,'Fill out report  تعبئة التقرير'!I41,"")</f>
        <v/>
      </c>
      <c r="AJ15" s="728" t="str">
        <f>IF('Fill out report  تعبئة التقرير'!J41 &gt; 0,'Fill out report  تعبئة التقرير'!J41,"")</f>
        <v/>
      </c>
      <c r="AK15" s="729">
        <f>IF('Fill out report  تعبئة التقرير'!K41 &gt;=0,'Fill out report  تعبئة التقرير'!K41,"")</f>
        <v>0</v>
      </c>
      <c r="AL15" s="728" t="str">
        <f>IF('Fill out report  تعبئة التقرير'!L41 &gt;=" ",'Fill out report  تعبئة التقرير'!L41,"")</f>
        <v/>
      </c>
      <c r="AM15" s="430" t="str">
        <f>IF('Fill out report  تعبئة التقرير'!O41 &gt; 0,'Fill out report  تعبئة التقرير'!O41,"")</f>
        <v/>
      </c>
      <c r="AN15" s="728" t="str">
        <f>IF('Fill out report  تعبئة التقرير'!Q41 &gt;=" ",'Fill out report  تعبئة التقرير'!Q41,"")</f>
        <v/>
      </c>
      <c r="AO15" s="431" t="str">
        <f ca="1">IF('Fill out report  تعبئة التقرير'!R41 &gt; 0,'Fill out report  تعبئة التقرير'!R41,"")</f>
        <v/>
      </c>
      <c r="AP15" s="367"/>
      <c r="AQ15" s="447"/>
    </row>
    <row r="16" spans="1:43" ht="11.85" customHeight="1" thickBot="1">
      <c r="A16" s="446"/>
      <c r="B16" s="367"/>
      <c r="C16" s="367"/>
      <c r="D16" s="367"/>
      <c r="E16" s="367"/>
      <c r="F16" s="367"/>
      <c r="G16" s="367"/>
      <c r="H16" s="367"/>
      <c r="I16" s="367"/>
      <c r="J16" s="367"/>
      <c r="K16" s="367"/>
      <c r="L16" s="367"/>
      <c r="M16" s="367"/>
      <c r="N16" s="367"/>
      <c r="O16" s="367"/>
      <c r="P16" s="367"/>
      <c r="Q16" s="367"/>
      <c r="R16" s="367"/>
      <c r="S16" s="367"/>
      <c r="T16" s="367"/>
      <c r="U16" s="367"/>
      <c r="V16" s="367"/>
      <c r="W16" s="367"/>
      <c r="X16" s="367"/>
      <c r="Y16" s="367"/>
      <c r="Z16" s="367"/>
      <c r="AA16" s="367"/>
      <c r="AB16" s="367"/>
      <c r="AC16" s="367"/>
      <c r="AD16" s="367"/>
      <c r="AE16" s="367"/>
      <c r="AF16" s="367"/>
      <c r="AG16" s="367"/>
      <c r="AH16" s="431" t="str">
        <f>IF('Fill out report  تعبئة التقرير'!E42 &gt;=" ",'Fill out report  تعبئة التقرير'!E42,"")</f>
        <v/>
      </c>
      <c r="AI16" s="728" t="str">
        <f>IF('Fill out report  تعبئة التقرير'!I42 &gt; 0,'Fill out report  تعبئة التقرير'!I42,"")</f>
        <v/>
      </c>
      <c r="AJ16" s="728" t="str">
        <f>IF('Fill out report  تعبئة التقرير'!J42 &gt; 0,'Fill out report  تعبئة التقرير'!J42,"")</f>
        <v/>
      </c>
      <c r="AK16" s="729">
        <f>IF('Fill out report  تعبئة التقرير'!K42 &gt;=0,'Fill out report  تعبئة التقرير'!K42,"")</f>
        <v>0</v>
      </c>
      <c r="AL16" s="728" t="str">
        <f>IF('Fill out report  تعبئة التقرير'!L42 &gt;=" ",'Fill out report  تعبئة التقرير'!L42,"")</f>
        <v/>
      </c>
      <c r="AM16" s="430" t="str">
        <f>IF('Fill out report  تعبئة التقرير'!O42 &gt; 0,'Fill out report  تعبئة التقرير'!O42,"")</f>
        <v/>
      </c>
      <c r="AN16" s="728" t="str">
        <f>IF('Fill out report  تعبئة التقرير'!Q42 &gt;=" ",'Fill out report  تعبئة التقرير'!Q42,"")</f>
        <v/>
      </c>
      <c r="AO16" s="431" t="str">
        <f ca="1">IF('Fill out report  تعبئة التقرير'!R42 &gt; 0,'Fill out report  تعبئة التقرير'!R42,"")</f>
        <v/>
      </c>
      <c r="AP16" s="367"/>
      <c r="AQ16" s="447"/>
    </row>
    <row r="17" spans="1:43" ht="11.85" customHeight="1" thickBot="1">
      <c r="A17" s="446"/>
      <c r="B17" s="367"/>
      <c r="C17" s="367"/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7"/>
      <c r="Q17" s="367"/>
      <c r="R17" s="367"/>
      <c r="S17" s="367"/>
      <c r="T17" s="367"/>
      <c r="U17" s="367"/>
      <c r="V17" s="367"/>
      <c r="W17" s="367"/>
      <c r="X17" s="367"/>
      <c r="Y17" s="367"/>
      <c r="Z17" s="367"/>
      <c r="AA17" s="367"/>
      <c r="AB17" s="367"/>
      <c r="AC17" s="367"/>
      <c r="AD17" s="367"/>
      <c r="AE17" s="367"/>
      <c r="AF17" s="367"/>
      <c r="AG17" s="367"/>
      <c r="AH17" s="431" t="str">
        <f>IF('Fill out report  تعبئة التقرير'!E43 &gt;=" ",'Fill out report  تعبئة التقرير'!E43,"")</f>
        <v/>
      </c>
      <c r="AI17" s="728" t="str">
        <f>IF('Fill out report  تعبئة التقرير'!I43 &gt; 0,'Fill out report  تعبئة التقرير'!I43,"")</f>
        <v/>
      </c>
      <c r="AJ17" s="728" t="str">
        <f>IF('Fill out report  تعبئة التقرير'!J43 &gt; 0,'Fill out report  تعبئة التقرير'!J43,"")</f>
        <v/>
      </c>
      <c r="AK17" s="729">
        <f>IF('Fill out report  تعبئة التقرير'!K43 &gt;=0,'Fill out report  تعبئة التقرير'!K43,"")</f>
        <v>0</v>
      </c>
      <c r="AL17" s="728" t="str">
        <f>IF('Fill out report  تعبئة التقرير'!L43 &gt;=" ",'Fill out report  تعبئة التقرير'!L43,"")</f>
        <v/>
      </c>
      <c r="AM17" s="430" t="str">
        <f>IF('Fill out report  تعبئة التقرير'!O43 &gt; 0,'Fill out report  تعبئة التقرير'!O43,"")</f>
        <v/>
      </c>
      <c r="AN17" s="728" t="str">
        <f>IF('Fill out report  تعبئة التقرير'!Q43 &gt;=" ",'Fill out report  تعبئة التقرير'!Q43,"")</f>
        <v/>
      </c>
      <c r="AO17" s="431" t="str">
        <f ca="1">IF('Fill out report  تعبئة التقرير'!R43 &gt; 0,'Fill out report  تعبئة التقرير'!R43,"")</f>
        <v/>
      </c>
      <c r="AP17" s="367"/>
      <c r="AQ17" s="447"/>
    </row>
    <row r="18" spans="1:43" ht="11.85" customHeight="1" thickBot="1">
      <c r="A18" s="446"/>
      <c r="B18" s="367"/>
      <c r="C18" s="367"/>
      <c r="D18" s="367"/>
      <c r="E18" s="367"/>
      <c r="F18" s="367"/>
      <c r="G18" s="367"/>
      <c r="H18" s="367"/>
      <c r="I18" s="367"/>
      <c r="J18" s="367"/>
      <c r="K18" s="367"/>
      <c r="L18" s="367"/>
      <c r="M18" s="367"/>
      <c r="N18" s="367"/>
      <c r="O18" s="367"/>
      <c r="P18" s="367"/>
      <c r="Q18" s="367"/>
      <c r="R18" s="367"/>
      <c r="S18" s="367"/>
      <c r="T18" s="367"/>
      <c r="U18" s="367"/>
      <c r="V18" s="367"/>
      <c r="W18" s="367"/>
      <c r="X18" s="367"/>
      <c r="Y18" s="367"/>
      <c r="Z18" s="367"/>
      <c r="AA18" s="367"/>
      <c r="AB18" s="367"/>
      <c r="AC18" s="367"/>
      <c r="AD18" s="367"/>
      <c r="AE18" s="367"/>
      <c r="AF18" s="367"/>
      <c r="AG18" s="367"/>
      <c r="AH18" s="431" t="str">
        <f>IF('Fill out report  تعبئة التقرير'!E44 &gt;=" ",'Fill out report  تعبئة التقرير'!E44,"")</f>
        <v/>
      </c>
      <c r="AI18" s="728" t="str">
        <f>IF('Fill out report  تعبئة التقرير'!I44 &gt; 0,'Fill out report  تعبئة التقرير'!I44,"")</f>
        <v/>
      </c>
      <c r="AJ18" s="728" t="str">
        <f>IF('Fill out report  تعبئة التقرير'!J44 &gt; 0,'Fill out report  تعبئة التقرير'!J44,"")</f>
        <v/>
      </c>
      <c r="AK18" s="729">
        <f>IF('Fill out report  تعبئة التقرير'!K44 &gt;=0,'Fill out report  تعبئة التقرير'!K44,"")</f>
        <v>0</v>
      </c>
      <c r="AL18" s="728" t="str">
        <f>IF('Fill out report  تعبئة التقرير'!L44 &gt;=" ",'Fill out report  تعبئة التقرير'!L44,"")</f>
        <v/>
      </c>
      <c r="AM18" s="430" t="str">
        <f>IF('Fill out report  تعبئة التقرير'!O44 &gt; 0,'Fill out report  تعبئة التقرير'!O44,"")</f>
        <v/>
      </c>
      <c r="AN18" s="728" t="str">
        <f>IF('Fill out report  تعبئة التقرير'!Q44 &gt;=" ",'Fill out report  تعبئة التقرير'!Q44,"")</f>
        <v/>
      </c>
      <c r="AO18" s="431" t="str">
        <f ca="1">IF('Fill out report  تعبئة التقرير'!R44 &gt; 0,'Fill out report  تعبئة التقرير'!R44,"")</f>
        <v/>
      </c>
      <c r="AP18" s="367"/>
      <c r="AQ18" s="447"/>
    </row>
    <row r="19" spans="1:43" ht="11.85" customHeight="1" thickBot="1">
      <c r="A19" s="446"/>
      <c r="B19" s="367"/>
      <c r="C19" s="367"/>
      <c r="D19" s="367"/>
      <c r="E19" s="367"/>
      <c r="F19" s="367"/>
      <c r="G19" s="367"/>
      <c r="H19" s="367"/>
      <c r="I19" s="367"/>
      <c r="J19" s="367"/>
      <c r="K19" s="367"/>
      <c r="L19" s="367"/>
      <c r="M19" s="367"/>
      <c r="N19" s="367"/>
      <c r="O19" s="367"/>
      <c r="P19" s="367"/>
      <c r="Q19" s="367"/>
      <c r="R19" s="367"/>
      <c r="S19" s="367"/>
      <c r="T19" s="367"/>
      <c r="U19" s="367"/>
      <c r="V19" s="367"/>
      <c r="W19" s="367"/>
      <c r="X19" s="367"/>
      <c r="Y19" s="367"/>
      <c r="Z19" s="367"/>
      <c r="AA19" s="367"/>
      <c r="AB19" s="367"/>
      <c r="AC19" s="367"/>
      <c r="AD19" s="367"/>
      <c r="AE19" s="367"/>
      <c r="AF19" s="367"/>
      <c r="AG19" s="367"/>
      <c r="AH19" s="431" t="str">
        <f>IF('Fill out report  تعبئة التقرير'!E45 &gt;=" ",'Fill out report  تعبئة التقرير'!E45,"")</f>
        <v/>
      </c>
      <c r="AI19" s="728" t="str">
        <f>IF('Fill out report  تعبئة التقرير'!I45 &gt; 0,'Fill out report  تعبئة التقرير'!I45,"")</f>
        <v/>
      </c>
      <c r="AJ19" s="728" t="str">
        <f>IF('Fill out report  تعبئة التقرير'!J45 &gt; 0,'Fill out report  تعبئة التقرير'!J45,"")</f>
        <v/>
      </c>
      <c r="AK19" s="729">
        <f>IF('Fill out report  تعبئة التقرير'!K45 &gt;=0,'Fill out report  تعبئة التقرير'!K45,"")</f>
        <v>0</v>
      </c>
      <c r="AL19" s="728" t="str">
        <f>IF('Fill out report  تعبئة التقرير'!L45 &gt;=" ",'Fill out report  تعبئة التقرير'!L45,"")</f>
        <v/>
      </c>
      <c r="AM19" s="430" t="str">
        <f>IF('Fill out report  تعبئة التقرير'!O45 &gt; 0,'Fill out report  تعبئة التقرير'!O45,"")</f>
        <v/>
      </c>
      <c r="AN19" s="728" t="str">
        <f>IF('Fill out report  تعبئة التقرير'!Q45 &gt;=" ",'Fill out report  تعبئة التقرير'!Q45,"")</f>
        <v/>
      </c>
      <c r="AO19" s="431" t="str">
        <f ca="1">IF('Fill out report  تعبئة التقرير'!R76 &gt; 0,'Fill out report  تعبئة التقرير'!R76,"")</f>
        <v/>
      </c>
      <c r="AP19" s="367"/>
      <c r="AQ19" s="447"/>
    </row>
    <row r="20" spans="1:43" ht="11.85" customHeight="1" thickBot="1">
      <c r="A20" s="448"/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  <c r="R20" s="449"/>
      <c r="S20" s="449"/>
      <c r="T20" s="449"/>
      <c r="U20" s="449"/>
      <c r="V20" s="449"/>
      <c r="W20" s="449"/>
      <c r="X20" s="449"/>
      <c r="Y20" s="449"/>
      <c r="Z20" s="449"/>
      <c r="AA20" s="449"/>
      <c r="AB20" s="449"/>
      <c r="AC20" s="449"/>
      <c r="AD20" s="449"/>
      <c r="AE20" s="449"/>
      <c r="AF20" s="449"/>
      <c r="AG20" s="449"/>
      <c r="AH20" s="431" t="str">
        <f>IF('Fill out report  تعبئة التقرير'!E46 &gt;=" ",'Fill out report  تعبئة التقرير'!E46,"")</f>
        <v/>
      </c>
      <c r="AI20" s="728" t="str">
        <f>IF('Fill out report  تعبئة التقرير'!I46 &gt; 0,'Fill out report  تعبئة التقرير'!I46,"")</f>
        <v/>
      </c>
      <c r="AJ20" s="728" t="str">
        <f>IF('Fill out report  تعبئة التقرير'!J46 &gt; 0,'Fill out report  تعبئة التقرير'!J46,"")</f>
        <v/>
      </c>
      <c r="AK20" s="729">
        <f>IF('Fill out report  تعبئة التقرير'!K46 &gt;=0,'Fill out report  تعبئة التقرير'!K46,"")</f>
        <v>0</v>
      </c>
      <c r="AL20" s="728" t="str">
        <f>IF('Fill out report  تعبئة التقرير'!L46 &gt;=" ",'Fill out report  تعبئة التقرير'!L46,"")</f>
        <v/>
      </c>
      <c r="AM20" s="430" t="str">
        <f>IF('Fill out report  تعبئة التقرير'!O46 &gt; 0,'Fill out report  تعبئة التقرير'!O46,"")</f>
        <v/>
      </c>
      <c r="AN20" s="728" t="str">
        <f>IF('Fill out report  تعبئة التقرير'!Q46 &gt;=" ",'Fill out report  تعبئة التقرير'!Q46,"")</f>
        <v/>
      </c>
      <c r="AO20" s="431" t="str">
        <f>IF('Fill out report  تعبئة التقرير'!R77 &gt; 0,'Fill out report  تعبئة التقرير'!R77,"")</f>
        <v/>
      </c>
      <c r="AP20" s="449"/>
      <c r="AQ20" s="450"/>
    </row>
    <row r="21" spans="1:43" ht="11.85" customHeight="1" thickBot="1">
      <c r="A21" s="448"/>
      <c r="B21" s="449"/>
      <c r="C21" s="449"/>
      <c r="D21" s="449"/>
      <c r="E21" s="449"/>
      <c r="F21" s="449"/>
      <c r="G21" s="449"/>
      <c r="H21" s="449"/>
      <c r="I21" s="449"/>
      <c r="J21" s="449"/>
      <c r="K21" s="449"/>
      <c r="L21" s="449"/>
      <c r="M21" s="449"/>
      <c r="N21" s="449"/>
      <c r="O21" s="449"/>
      <c r="P21" s="449"/>
      <c r="Q21" s="449"/>
      <c r="R21" s="449"/>
      <c r="S21" s="449"/>
      <c r="T21" s="449"/>
      <c r="U21" s="449"/>
      <c r="V21" s="449"/>
      <c r="W21" s="449"/>
      <c r="X21" s="449"/>
      <c r="Y21" s="449"/>
      <c r="Z21" s="449"/>
      <c r="AA21" s="449"/>
      <c r="AB21" s="449"/>
      <c r="AC21" s="449"/>
      <c r="AD21" s="449"/>
      <c r="AE21" s="449"/>
      <c r="AF21" s="449"/>
      <c r="AG21" s="449"/>
      <c r="AH21" s="431" t="str">
        <f>IF('Fill out report  تعبئة التقرير'!E47 &gt;=" ",'Fill out report  تعبئة التقرير'!E47,"")</f>
        <v/>
      </c>
      <c r="AI21" s="728" t="str">
        <f>IF('Fill out report  تعبئة التقرير'!I47 &gt; 0,'Fill out report  تعبئة التقرير'!I47,"")</f>
        <v/>
      </c>
      <c r="AJ21" s="728" t="str">
        <f>IF('Fill out report  تعبئة التقرير'!J47 &gt; 0,'Fill out report  تعبئة التقرير'!J47,"")</f>
        <v/>
      </c>
      <c r="AK21" s="729">
        <f>IF('Fill out report  تعبئة التقرير'!K47 &gt;=0,'Fill out report  تعبئة التقرير'!K47,"")</f>
        <v>0</v>
      </c>
      <c r="AL21" s="728" t="str">
        <f>IF('Fill out report  تعبئة التقرير'!L47 &gt;=" ",'Fill out report  تعبئة التقرير'!L47,"")</f>
        <v/>
      </c>
      <c r="AM21" s="430" t="str">
        <f>IF('Fill out report  تعبئة التقرير'!O47 &gt; 0,'Fill out report  تعبئة التقرير'!O47,"")</f>
        <v/>
      </c>
      <c r="AN21" s="728" t="str">
        <f>IF('Fill out report  تعبئة التقرير'!Q47 &gt;=" ",'Fill out report  تعبئة التقرير'!Q47,"")</f>
        <v/>
      </c>
      <c r="AO21" s="431" t="str">
        <f>IF('Fill out report  تعبئة التقرير'!R78 &gt; 0,'Fill out report  تعبئة التقرير'!R78,"")</f>
        <v/>
      </c>
      <c r="AP21" s="449"/>
      <c r="AQ21" s="450"/>
    </row>
    <row r="22" spans="1:43" ht="11.85" customHeight="1" thickBot="1">
      <c r="A22" s="448"/>
      <c r="B22" s="449"/>
      <c r="C22" s="449"/>
      <c r="D22" s="449"/>
      <c r="E22" s="449"/>
      <c r="F22" s="449"/>
      <c r="G22" s="449"/>
      <c r="H22" s="449"/>
      <c r="I22" s="449"/>
      <c r="J22" s="449"/>
      <c r="K22" s="449"/>
      <c r="L22" s="449"/>
      <c r="M22" s="449"/>
      <c r="N22" s="449"/>
      <c r="O22" s="449"/>
      <c r="P22" s="449"/>
      <c r="Q22" s="449"/>
      <c r="R22" s="449"/>
      <c r="S22" s="449"/>
      <c r="T22" s="449"/>
      <c r="U22" s="449"/>
      <c r="V22" s="449"/>
      <c r="W22" s="449"/>
      <c r="X22" s="449"/>
      <c r="Y22" s="449"/>
      <c r="Z22" s="449"/>
      <c r="AA22" s="449"/>
      <c r="AB22" s="449"/>
      <c r="AC22" s="449"/>
      <c r="AD22" s="449"/>
      <c r="AE22" s="449"/>
      <c r="AF22" s="449"/>
      <c r="AG22" s="449"/>
      <c r="AH22" s="431" t="str">
        <f>IF('Fill out report  تعبئة التقرير'!E48 &gt;=" ",'Fill out report  تعبئة التقرير'!E48,"")</f>
        <v/>
      </c>
      <c r="AI22" s="728" t="str">
        <f>IF('Fill out report  تعبئة التقرير'!I48 &gt; 0,'Fill out report  تعبئة التقرير'!I48,"")</f>
        <v/>
      </c>
      <c r="AJ22" s="728" t="str">
        <f>IF('Fill out report  تعبئة التقرير'!J48 &gt; 0,'Fill out report  تعبئة التقرير'!J48,"")</f>
        <v/>
      </c>
      <c r="AK22" s="729">
        <f>IF('Fill out report  تعبئة التقرير'!K48 &gt;=0,'Fill out report  تعبئة التقرير'!K48,"")</f>
        <v>0</v>
      </c>
      <c r="AL22" s="728" t="str">
        <f>IF('Fill out report  تعبئة التقرير'!L48 &gt;=" ",'Fill out report  تعبئة التقرير'!L48,"")</f>
        <v/>
      </c>
      <c r="AM22" s="430" t="str">
        <f>IF('Fill out report  تعبئة التقرير'!O48 &gt; 0,'Fill out report  تعبئة التقرير'!O48,"")</f>
        <v/>
      </c>
      <c r="AN22" s="728" t="str">
        <f>IF('Fill out report  تعبئة التقرير'!Q48 &gt;=" ",'Fill out report  تعبئة التقرير'!Q48,"")</f>
        <v/>
      </c>
      <c r="AO22" s="431" t="str">
        <f>IF('Fill out report  تعبئة التقرير'!R79 &gt; 0,'Fill out report  تعبئة التقرير'!R79,"")</f>
        <v/>
      </c>
      <c r="AP22" s="449"/>
      <c r="AQ22" s="450"/>
    </row>
    <row r="23" spans="1:43" ht="11.85" customHeight="1" thickBot="1">
      <c r="A23" s="448"/>
      <c r="B23" s="449"/>
      <c r="C23" s="449"/>
      <c r="D23" s="449"/>
      <c r="E23" s="449"/>
      <c r="F23" s="449"/>
      <c r="G23" s="449"/>
      <c r="H23" s="449"/>
      <c r="I23" s="449"/>
      <c r="J23" s="449"/>
      <c r="K23" s="449"/>
      <c r="L23" s="449"/>
      <c r="M23" s="449"/>
      <c r="N23" s="449"/>
      <c r="O23" s="449"/>
      <c r="P23" s="449"/>
      <c r="Q23" s="449"/>
      <c r="R23" s="449"/>
      <c r="S23" s="449"/>
      <c r="T23" s="449"/>
      <c r="U23" s="449"/>
      <c r="V23" s="449"/>
      <c r="W23" s="449"/>
      <c r="X23" s="449"/>
      <c r="Y23" s="449"/>
      <c r="Z23" s="449"/>
      <c r="AA23" s="449"/>
      <c r="AB23" s="449"/>
      <c r="AC23" s="449"/>
      <c r="AD23" s="449"/>
      <c r="AE23" s="449"/>
      <c r="AF23" s="449"/>
      <c r="AG23" s="449"/>
      <c r="AH23" s="431" t="str">
        <f>IF('Fill out report  تعبئة التقرير'!E49 &gt;=" ",'Fill out report  تعبئة التقرير'!E49,"")</f>
        <v/>
      </c>
      <c r="AI23" s="728" t="str">
        <f>IF('Fill out report  تعبئة التقرير'!I49 &gt; 0,'Fill out report  تعبئة التقرير'!I49,"")</f>
        <v/>
      </c>
      <c r="AJ23" s="728" t="str">
        <f>IF('Fill out report  تعبئة التقرير'!J49 &gt; 0,'Fill out report  تعبئة التقرير'!J49,"")</f>
        <v/>
      </c>
      <c r="AK23" s="729">
        <f>IF('Fill out report  تعبئة التقرير'!K49 &gt;=0,'Fill out report  تعبئة التقرير'!K49,"")</f>
        <v>0</v>
      </c>
      <c r="AL23" s="728" t="str">
        <f>IF('Fill out report  تعبئة التقرير'!L49 &gt;=" ",'Fill out report  تعبئة التقرير'!L49,"")</f>
        <v/>
      </c>
      <c r="AM23" s="430" t="str">
        <f>IF('Fill out report  تعبئة التقرير'!O49 &gt; 0,'Fill out report  تعبئة التقرير'!O49,"")</f>
        <v/>
      </c>
      <c r="AN23" s="728" t="str">
        <f>IF('Fill out report  تعبئة التقرير'!Q49 &gt;=" ",'Fill out report  تعبئة التقرير'!Q49,"")</f>
        <v/>
      </c>
      <c r="AO23" s="431" t="str">
        <f>IF('Fill out report  تعبئة التقرير'!R80 &gt; 0,'Fill out report  تعبئة التقرير'!R80,"")</f>
        <v/>
      </c>
      <c r="AP23" s="449"/>
      <c r="AQ23" s="450"/>
    </row>
    <row r="24" spans="1:43" ht="11.85" customHeight="1" thickBot="1">
      <c r="A24" s="448"/>
      <c r="B24" s="449"/>
      <c r="C24" s="449"/>
      <c r="D24" s="449"/>
      <c r="E24" s="449"/>
      <c r="F24" s="449"/>
      <c r="G24" s="449"/>
      <c r="H24" s="449"/>
      <c r="I24" s="449"/>
      <c r="J24" s="449"/>
      <c r="K24" s="449"/>
      <c r="L24" s="449"/>
      <c r="M24" s="449"/>
      <c r="N24" s="449"/>
      <c r="O24" s="449"/>
      <c r="P24" s="449"/>
      <c r="Q24" s="449"/>
      <c r="R24" s="449"/>
      <c r="S24" s="449"/>
      <c r="T24" s="449"/>
      <c r="U24" s="449"/>
      <c r="V24" s="449"/>
      <c r="W24" s="449"/>
      <c r="X24" s="449"/>
      <c r="Y24" s="449"/>
      <c r="Z24" s="449"/>
      <c r="AA24" s="449"/>
      <c r="AB24" s="449"/>
      <c r="AC24" s="449"/>
      <c r="AD24" s="449"/>
      <c r="AE24" s="449"/>
      <c r="AF24" s="449"/>
      <c r="AG24" s="449"/>
      <c r="AH24" s="431" t="str">
        <f>IF('Fill out report  تعبئة التقرير'!E50 &gt;=" ",'Fill out report  تعبئة التقرير'!E50,"")</f>
        <v/>
      </c>
      <c r="AI24" s="728" t="str">
        <f>IF('Fill out report  تعبئة التقرير'!I50 &gt; 0,'Fill out report  تعبئة التقرير'!I50,"")</f>
        <v/>
      </c>
      <c r="AJ24" s="728" t="str">
        <f>IF('Fill out report  تعبئة التقرير'!J50 &gt; 0,'Fill out report  تعبئة التقرير'!J50,"")</f>
        <v/>
      </c>
      <c r="AK24" s="729">
        <f>IF('Fill out report  تعبئة التقرير'!K50 &gt;=0,'Fill out report  تعبئة التقرير'!K50,"")</f>
        <v>0</v>
      </c>
      <c r="AL24" s="728" t="str">
        <f>IF('Fill out report  تعبئة التقرير'!L50 &gt;=" ",'Fill out report  تعبئة التقرير'!L50,"")</f>
        <v/>
      </c>
      <c r="AM24" s="430" t="str">
        <f>IF('Fill out report  تعبئة التقرير'!O50 &gt; 0,'Fill out report  تعبئة التقرير'!O50,"")</f>
        <v/>
      </c>
      <c r="AN24" s="728" t="str">
        <f>IF('Fill out report  تعبئة التقرير'!Q50 &gt;=" ",'Fill out report  تعبئة التقرير'!Q50,"")</f>
        <v/>
      </c>
      <c r="AO24" s="431" t="str">
        <f>IF('Fill out report  تعبئة التقرير'!R81 &gt; 0,'Fill out report  تعبئة التقرير'!R81,"")</f>
        <v/>
      </c>
      <c r="AP24" s="449"/>
      <c r="AQ24" s="450"/>
    </row>
    <row r="25" spans="1:43" ht="11.85" customHeight="1" thickBot="1">
      <c r="A25" s="448"/>
      <c r="B25" s="449"/>
      <c r="C25" s="449"/>
      <c r="D25" s="449"/>
      <c r="E25" s="449"/>
      <c r="F25" s="449"/>
      <c r="G25" s="449"/>
      <c r="H25" s="449"/>
      <c r="I25" s="449"/>
      <c r="J25" s="449"/>
      <c r="K25" s="449"/>
      <c r="L25" s="449"/>
      <c r="M25" s="449"/>
      <c r="N25" s="449"/>
      <c r="O25" s="449"/>
      <c r="P25" s="449"/>
      <c r="Q25" s="449"/>
      <c r="R25" s="449"/>
      <c r="S25" s="449"/>
      <c r="T25" s="449"/>
      <c r="U25" s="449"/>
      <c r="V25" s="449"/>
      <c r="W25" s="449"/>
      <c r="X25" s="449"/>
      <c r="Y25" s="449"/>
      <c r="Z25" s="449"/>
      <c r="AA25" s="449"/>
      <c r="AB25" s="449"/>
      <c r="AC25" s="449"/>
      <c r="AD25" s="449"/>
      <c r="AE25" s="449"/>
      <c r="AF25" s="449"/>
      <c r="AG25" s="449"/>
      <c r="AH25" s="431" t="str">
        <f>IF('Fill out report  تعبئة التقرير'!E51 &gt;=" ",'Fill out report  تعبئة التقرير'!E51,"")</f>
        <v/>
      </c>
      <c r="AI25" s="728" t="str">
        <f>IF('Fill out report  تعبئة التقرير'!I51 &gt; 0,'Fill out report  تعبئة التقرير'!I51,"")</f>
        <v/>
      </c>
      <c r="AJ25" s="728" t="str">
        <f>IF('Fill out report  تعبئة التقرير'!J51 &gt; 0,'Fill out report  تعبئة التقرير'!J51,"")</f>
        <v/>
      </c>
      <c r="AK25" s="729">
        <f>IF('Fill out report  تعبئة التقرير'!K51 &gt;=0,'Fill out report  تعبئة التقرير'!K51,"")</f>
        <v>0</v>
      </c>
      <c r="AL25" s="728" t="str">
        <f>IF('Fill out report  تعبئة التقرير'!L51 &gt;=" ",'Fill out report  تعبئة التقرير'!L51,"")</f>
        <v/>
      </c>
      <c r="AM25" s="430" t="str">
        <f>IF('Fill out report  تعبئة التقرير'!O51 &gt; 0,'Fill out report  تعبئة التقرير'!O51,"")</f>
        <v/>
      </c>
      <c r="AN25" s="728" t="str">
        <f>IF('Fill out report  تعبئة التقرير'!Q51 &gt;=" ",'Fill out report  تعبئة التقرير'!Q51,"")</f>
        <v/>
      </c>
      <c r="AO25" s="431" t="str">
        <f>IF('Fill out report  تعبئة التقرير'!R82 &gt; 0,'Fill out report  تعبئة التقرير'!R82,"")</f>
        <v/>
      </c>
      <c r="AP25" s="449"/>
      <c r="AQ25" s="450"/>
    </row>
    <row r="26" spans="1:43" ht="11.85" customHeight="1" thickBot="1">
      <c r="A26" s="448"/>
      <c r="B26" s="449"/>
      <c r="C26" s="449"/>
      <c r="D26" s="449"/>
      <c r="E26" s="449"/>
      <c r="F26" s="449"/>
      <c r="G26" s="449"/>
      <c r="H26" s="449"/>
      <c r="I26" s="449"/>
      <c r="J26" s="449"/>
      <c r="K26" s="449"/>
      <c r="L26" s="449"/>
      <c r="M26" s="449"/>
      <c r="N26" s="449"/>
      <c r="O26" s="449"/>
      <c r="P26" s="449"/>
      <c r="Q26" s="449"/>
      <c r="R26" s="449"/>
      <c r="S26" s="449"/>
      <c r="T26" s="449"/>
      <c r="U26" s="449"/>
      <c r="V26" s="449"/>
      <c r="W26" s="449"/>
      <c r="X26" s="449"/>
      <c r="Y26" s="449"/>
      <c r="Z26" s="449"/>
      <c r="AA26" s="449"/>
      <c r="AB26" s="449"/>
      <c r="AC26" s="449"/>
      <c r="AD26" s="449"/>
      <c r="AE26" s="449"/>
      <c r="AF26" s="449"/>
      <c r="AG26" s="449"/>
      <c r="AH26" s="431" t="str">
        <f>IF('Fill out report  تعبئة التقرير'!E52 &gt;=" ",'Fill out report  تعبئة التقرير'!E52,"")</f>
        <v/>
      </c>
      <c r="AI26" s="728" t="str">
        <f>IF('Fill out report  تعبئة التقرير'!I52 &gt; 0,'Fill out report  تعبئة التقرير'!I52,"")</f>
        <v/>
      </c>
      <c r="AJ26" s="728" t="str">
        <f>IF('Fill out report  تعبئة التقرير'!J52 &gt; 0,'Fill out report  تعبئة التقرير'!J52,"")</f>
        <v/>
      </c>
      <c r="AK26" s="729">
        <f>IF('Fill out report  تعبئة التقرير'!K52 &gt;=0,'Fill out report  تعبئة التقرير'!K52,"")</f>
        <v>0</v>
      </c>
      <c r="AL26" s="728" t="str">
        <f>IF('Fill out report  تعبئة التقرير'!L52 &gt;=" ",'Fill out report  تعبئة التقرير'!L52,"")</f>
        <v/>
      </c>
      <c r="AM26" s="430" t="str">
        <f>IF('Fill out report  تعبئة التقرير'!O52 &gt; 0,'Fill out report  تعبئة التقرير'!O52,"")</f>
        <v/>
      </c>
      <c r="AN26" s="728" t="str">
        <f>IF('Fill out report  تعبئة التقرير'!Q52 &gt;=" ",'Fill out report  تعبئة التقرير'!Q52,"")</f>
        <v/>
      </c>
      <c r="AO26" s="431" t="str">
        <f>IF('Fill out report  تعبئة التقرير'!R83 &gt; 0,'Fill out report  تعبئة التقرير'!R83,"")</f>
        <v/>
      </c>
      <c r="AP26" s="449"/>
      <c r="AQ26" s="450"/>
    </row>
    <row r="27" spans="1:43" ht="11.85" customHeight="1" thickBot="1">
      <c r="A27" s="448"/>
      <c r="B27" s="449"/>
      <c r="C27" s="449"/>
      <c r="D27" s="449"/>
      <c r="E27" s="449"/>
      <c r="F27" s="449"/>
      <c r="G27" s="449"/>
      <c r="H27" s="449"/>
      <c r="I27" s="449"/>
      <c r="J27" s="449"/>
      <c r="K27" s="449"/>
      <c r="L27" s="449"/>
      <c r="M27" s="449"/>
      <c r="N27" s="449"/>
      <c r="O27" s="449"/>
      <c r="P27" s="449"/>
      <c r="Q27" s="449"/>
      <c r="R27" s="449"/>
      <c r="S27" s="449"/>
      <c r="T27" s="449"/>
      <c r="U27" s="449"/>
      <c r="V27" s="449"/>
      <c r="W27" s="449"/>
      <c r="X27" s="449"/>
      <c r="Y27" s="449"/>
      <c r="Z27" s="449"/>
      <c r="AA27" s="449"/>
      <c r="AB27" s="449"/>
      <c r="AC27" s="449"/>
      <c r="AD27" s="449"/>
      <c r="AE27" s="449"/>
      <c r="AF27" s="449"/>
      <c r="AG27" s="449"/>
      <c r="AH27" s="431" t="str">
        <f>IF('Fill out report  تعبئة التقرير'!E53 &gt;=" ",'Fill out report  تعبئة التقرير'!E53,"")</f>
        <v/>
      </c>
      <c r="AI27" s="728" t="str">
        <f>IF('Fill out report  تعبئة التقرير'!I53 &gt; 0,'Fill out report  تعبئة التقرير'!I53,"")</f>
        <v/>
      </c>
      <c r="AJ27" s="728" t="str">
        <f>IF('Fill out report  تعبئة التقرير'!J53 &gt; 0,'Fill out report  تعبئة التقرير'!J53,"")</f>
        <v/>
      </c>
      <c r="AK27" s="729">
        <f>IF('Fill out report  تعبئة التقرير'!K53 &gt;=0,'Fill out report  تعبئة التقرير'!K53,"")</f>
        <v>0</v>
      </c>
      <c r="AL27" s="728" t="str">
        <f>IF('Fill out report  تعبئة التقرير'!L53 &gt;=" ",'Fill out report  تعبئة التقرير'!L53,"")</f>
        <v/>
      </c>
      <c r="AM27" s="430" t="str">
        <f>IF('Fill out report  تعبئة التقرير'!O53 &gt; 0,'Fill out report  تعبئة التقرير'!O53,"")</f>
        <v/>
      </c>
      <c r="AN27" s="728" t="str">
        <f>IF('Fill out report  تعبئة التقرير'!Q53 &gt;=" ",'Fill out report  تعبئة التقرير'!Q53,"")</f>
        <v/>
      </c>
      <c r="AO27" s="431" t="str">
        <f>IF('Fill out report  تعبئة التقرير'!R84 &gt; 0,'Fill out report  تعبئة التقرير'!R84,"")</f>
        <v/>
      </c>
      <c r="AP27" s="449"/>
      <c r="AQ27" s="450"/>
    </row>
    <row r="28" spans="1:43" ht="11.85" customHeight="1" thickBot="1">
      <c r="A28" s="448"/>
      <c r="B28" s="449"/>
      <c r="C28" s="449"/>
      <c r="D28" s="449"/>
      <c r="E28" s="449"/>
      <c r="F28" s="449"/>
      <c r="G28" s="449"/>
      <c r="H28" s="449"/>
      <c r="I28" s="449"/>
      <c r="J28" s="449"/>
      <c r="K28" s="449"/>
      <c r="L28" s="449"/>
      <c r="M28" s="449"/>
      <c r="N28" s="449"/>
      <c r="O28" s="449"/>
      <c r="P28" s="449"/>
      <c r="Q28" s="449"/>
      <c r="R28" s="449"/>
      <c r="S28" s="449"/>
      <c r="T28" s="449"/>
      <c r="U28" s="449"/>
      <c r="V28" s="449"/>
      <c r="W28" s="449"/>
      <c r="X28" s="449"/>
      <c r="Y28" s="449"/>
      <c r="Z28" s="449"/>
      <c r="AA28" s="449"/>
      <c r="AB28" s="449"/>
      <c r="AC28" s="449"/>
      <c r="AD28" s="449"/>
      <c r="AE28" s="449"/>
      <c r="AF28" s="449"/>
      <c r="AG28" s="449"/>
      <c r="AH28" s="431" t="str">
        <f>IF('Fill out report  تعبئة التقرير'!E54 &gt;=" ",'Fill out report  تعبئة التقرير'!E54,"")</f>
        <v/>
      </c>
      <c r="AI28" s="728" t="str">
        <f>IF('Fill out report  تعبئة التقرير'!I54 &gt; 0,'Fill out report  تعبئة التقرير'!I54,"")</f>
        <v/>
      </c>
      <c r="AJ28" s="728" t="str">
        <f>IF('Fill out report  تعبئة التقرير'!J54 &gt; 0,'Fill out report  تعبئة التقرير'!J54,"")</f>
        <v/>
      </c>
      <c r="AK28" s="729">
        <f>IF('Fill out report  تعبئة التقرير'!K54 &gt;=0,'Fill out report  تعبئة التقرير'!K54,"")</f>
        <v>0</v>
      </c>
      <c r="AL28" s="728" t="str">
        <f>IF('Fill out report  تعبئة التقرير'!L54 &gt;=" ",'Fill out report  تعبئة التقرير'!L54,"")</f>
        <v/>
      </c>
      <c r="AM28" s="430" t="str">
        <f>IF('Fill out report  تعبئة التقرير'!O54 &gt; 0,'Fill out report  تعبئة التقرير'!O54,"")</f>
        <v/>
      </c>
      <c r="AN28" s="728" t="str">
        <f>IF('Fill out report  تعبئة التقرير'!Q54 &gt;=" ",'Fill out report  تعبئة التقرير'!Q54,"")</f>
        <v/>
      </c>
      <c r="AO28" s="431" t="str">
        <f>IF('Fill out report  تعبئة التقرير'!R85 &gt; 0,'Fill out report  تعبئة التقرير'!R85,"")</f>
        <v/>
      </c>
      <c r="AP28" s="449"/>
      <c r="AQ28" s="450"/>
    </row>
    <row r="29" spans="1:43" ht="11.85" customHeight="1" thickBot="1">
      <c r="A29" s="448"/>
      <c r="B29" s="449"/>
      <c r="C29" s="449"/>
      <c r="D29" s="449"/>
      <c r="E29" s="449"/>
      <c r="F29" s="449"/>
      <c r="G29" s="449"/>
      <c r="H29" s="449"/>
      <c r="I29" s="449"/>
      <c r="J29" s="449"/>
      <c r="K29" s="449"/>
      <c r="L29" s="449"/>
      <c r="M29" s="449"/>
      <c r="N29" s="449"/>
      <c r="O29" s="449"/>
      <c r="P29" s="449"/>
      <c r="Q29" s="449"/>
      <c r="R29" s="449"/>
      <c r="S29" s="449"/>
      <c r="T29" s="449"/>
      <c r="U29" s="449"/>
      <c r="V29" s="449"/>
      <c r="W29" s="449"/>
      <c r="X29" s="449"/>
      <c r="Y29" s="449"/>
      <c r="Z29" s="449"/>
      <c r="AA29" s="449"/>
      <c r="AB29" s="449"/>
      <c r="AC29" s="449"/>
      <c r="AD29" s="449"/>
      <c r="AE29" s="449"/>
      <c r="AF29" s="449"/>
      <c r="AG29" s="449"/>
      <c r="AH29" s="431" t="str">
        <f>IF('Fill out report  تعبئة التقرير'!E55 &gt;=" ",'Fill out report  تعبئة التقرير'!E55,"")</f>
        <v/>
      </c>
      <c r="AI29" s="728" t="str">
        <f>IF('Fill out report  تعبئة التقرير'!I55 &gt; 0,'Fill out report  تعبئة التقرير'!I55,"")</f>
        <v/>
      </c>
      <c r="AJ29" s="728" t="str">
        <f>IF('Fill out report  تعبئة التقرير'!J55 &gt; 0,'Fill out report  تعبئة التقرير'!J55,"")</f>
        <v/>
      </c>
      <c r="AK29" s="729">
        <f>IF('Fill out report  تعبئة التقرير'!K55 &gt;=0,'Fill out report  تعبئة التقرير'!K55,"")</f>
        <v>0</v>
      </c>
      <c r="AL29" s="728" t="str">
        <f>IF('Fill out report  تعبئة التقرير'!L55 &gt;=" ",'Fill out report  تعبئة التقرير'!L55,"")</f>
        <v/>
      </c>
      <c r="AM29" s="430" t="str">
        <f>IF('Fill out report  تعبئة التقرير'!O55 &gt; 0,'Fill out report  تعبئة التقرير'!O55,"")</f>
        <v/>
      </c>
      <c r="AN29" s="728" t="str">
        <f>IF('Fill out report  تعبئة التقرير'!Q55 &gt;=" ",'Fill out report  تعبئة التقرير'!Q55,"")</f>
        <v/>
      </c>
      <c r="AO29" s="431" t="str">
        <f>IF('Fill out report  تعبئة التقرير'!R86 &gt; 0,'Fill out report  تعبئة التقرير'!R86,"")</f>
        <v/>
      </c>
      <c r="AP29" s="449"/>
      <c r="AQ29" s="450"/>
    </row>
    <row r="30" spans="1:43" ht="11.85" customHeight="1" thickBot="1">
      <c r="A30" s="448"/>
      <c r="B30" s="449"/>
      <c r="C30" s="449"/>
      <c r="D30" s="449"/>
      <c r="E30" s="449"/>
      <c r="F30" s="449"/>
      <c r="G30" s="449"/>
      <c r="H30" s="449"/>
      <c r="I30" s="449"/>
      <c r="J30" s="449"/>
      <c r="K30" s="449"/>
      <c r="L30" s="449"/>
      <c r="M30" s="449"/>
      <c r="N30" s="449"/>
      <c r="O30" s="449"/>
      <c r="P30" s="449"/>
      <c r="Q30" s="449"/>
      <c r="R30" s="449"/>
      <c r="S30" s="449"/>
      <c r="T30" s="449"/>
      <c r="U30" s="449"/>
      <c r="V30" s="449"/>
      <c r="W30" s="449"/>
      <c r="X30" s="449"/>
      <c r="Y30" s="449"/>
      <c r="Z30" s="449"/>
      <c r="AA30" s="449"/>
      <c r="AB30" s="449"/>
      <c r="AC30" s="449"/>
      <c r="AD30" s="449"/>
      <c r="AE30" s="449"/>
      <c r="AF30" s="449"/>
      <c r="AG30" s="449"/>
      <c r="AH30" s="431" t="str">
        <f>IF('Fill out report  تعبئة التقرير'!E56 &gt;=" ",'Fill out report  تعبئة التقرير'!E56,"")</f>
        <v/>
      </c>
      <c r="AI30" s="728" t="str">
        <f>IF('Fill out report  تعبئة التقرير'!I56 &gt; 0,'Fill out report  تعبئة التقرير'!I56,"")</f>
        <v/>
      </c>
      <c r="AJ30" s="728" t="str">
        <f>IF('Fill out report  تعبئة التقرير'!J56 &gt; 0,'Fill out report  تعبئة التقرير'!J56,"")</f>
        <v/>
      </c>
      <c r="AK30" s="729">
        <f>IF('Fill out report  تعبئة التقرير'!K56 &gt;=0,'Fill out report  تعبئة التقرير'!K56,"")</f>
        <v>0</v>
      </c>
      <c r="AL30" s="728" t="str">
        <f>IF('Fill out report  تعبئة التقرير'!L56 &gt;=" ",'Fill out report  تعبئة التقرير'!L56,"")</f>
        <v/>
      </c>
      <c r="AM30" s="430" t="str">
        <f>IF('Fill out report  تعبئة التقرير'!O56 &gt; 0,'Fill out report  تعبئة التقرير'!O56,"")</f>
        <v/>
      </c>
      <c r="AN30" s="728" t="str">
        <f>IF('Fill out report  تعبئة التقرير'!Q56 &gt;=" ",'Fill out report  تعبئة التقرير'!Q56,"")</f>
        <v/>
      </c>
      <c r="AO30" s="431" t="str">
        <f>IF('Fill out report  تعبئة التقرير'!R87 &gt; 0,'Fill out report  تعبئة التقرير'!R87,"")</f>
        <v/>
      </c>
      <c r="AP30" s="449"/>
      <c r="AQ30" s="450"/>
    </row>
    <row r="31" spans="1:43" ht="11.85" customHeight="1" thickBot="1">
      <c r="A31" s="448"/>
      <c r="B31" s="449"/>
      <c r="C31" s="449"/>
      <c r="D31" s="449"/>
      <c r="E31" s="449"/>
      <c r="F31" s="449"/>
      <c r="G31" s="449"/>
      <c r="H31" s="449"/>
      <c r="I31" s="449"/>
      <c r="J31" s="449"/>
      <c r="K31" s="449"/>
      <c r="L31" s="449"/>
      <c r="M31" s="449"/>
      <c r="N31" s="449"/>
      <c r="O31" s="449"/>
      <c r="P31" s="449"/>
      <c r="Q31" s="449"/>
      <c r="R31" s="449"/>
      <c r="S31" s="449"/>
      <c r="T31" s="449"/>
      <c r="U31" s="449"/>
      <c r="V31" s="449"/>
      <c r="W31" s="449"/>
      <c r="X31" s="449"/>
      <c r="Y31" s="449"/>
      <c r="Z31" s="449"/>
      <c r="AA31" s="449"/>
      <c r="AB31" s="449"/>
      <c r="AC31" s="449"/>
      <c r="AD31" s="449"/>
      <c r="AE31" s="449"/>
      <c r="AF31" s="449"/>
      <c r="AG31" s="449"/>
      <c r="AH31" s="431" t="str">
        <f>IF('Fill out report  تعبئة التقرير'!E57 &gt;=" ",'Fill out report  تعبئة التقرير'!E57,"")</f>
        <v/>
      </c>
      <c r="AI31" s="728" t="str">
        <f>IF('Fill out report  تعبئة التقرير'!I57 &gt; 0,'Fill out report  تعبئة التقرير'!I57,"")</f>
        <v/>
      </c>
      <c r="AJ31" s="728" t="str">
        <f>IF('Fill out report  تعبئة التقرير'!J57 &gt; 0,'Fill out report  تعبئة التقرير'!J57,"")</f>
        <v/>
      </c>
      <c r="AK31" s="729">
        <f>IF('Fill out report  تعبئة التقرير'!K57 &gt;=0,'Fill out report  تعبئة التقرير'!K57,"")</f>
        <v>0</v>
      </c>
      <c r="AL31" s="728" t="str">
        <f>IF('Fill out report  تعبئة التقرير'!L57 &gt;=" ",'Fill out report  تعبئة التقرير'!L57,"")</f>
        <v/>
      </c>
      <c r="AM31" s="430" t="str">
        <f>IF('Fill out report  تعبئة التقرير'!O57 &gt; 0,'Fill out report  تعبئة التقرير'!O57,"")</f>
        <v/>
      </c>
      <c r="AN31" s="728" t="str">
        <f>IF('Fill out report  تعبئة التقرير'!Q57 &gt;=" ",'Fill out report  تعبئة التقرير'!Q57,"")</f>
        <v/>
      </c>
      <c r="AO31" s="431" t="str">
        <f>IF('Fill out report  تعبئة التقرير'!R88 &gt; 0,'Fill out report  تعبئة التقرير'!R88,"")</f>
        <v/>
      </c>
      <c r="AP31" s="449"/>
      <c r="AQ31" s="450"/>
    </row>
    <row r="32" spans="1:43" ht="11.85" customHeight="1" thickBot="1">
      <c r="A32" s="448"/>
      <c r="B32" s="449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  <c r="R32" s="449"/>
      <c r="S32" s="449"/>
      <c r="T32" s="449"/>
      <c r="U32" s="449"/>
      <c r="V32" s="449"/>
      <c r="W32" s="449"/>
      <c r="X32" s="449"/>
      <c r="Y32" s="449"/>
      <c r="Z32" s="449"/>
      <c r="AA32" s="449"/>
      <c r="AB32" s="449"/>
      <c r="AC32" s="449"/>
      <c r="AD32" s="449"/>
      <c r="AE32" s="449"/>
      <c r="AF32" s="449"/>
      <c r="AG32" s="449"/>
      <c r="AH32" s="431" t="str">
        <f>IF('Fill out report  تعبئة التقرير'!E58 &gt;=" ",'Fill out report  تعبئة التقرير'!E58,"")</f>
        <v/>
      </c>
      <c r="AI32" s="728" t="str">
        <f>IF('Fill out report  تعبئة التقرير'!I58 &gt; 0,'Fill out report  تعبئة التقرير'!I58,"")</f>
        <v/>
      </c>
      <c r="AJ32" s="728" t="str">
        <f>IF('Fill out report  تعبئة التقرير'!J58 &gt; 0,'Fill out report  تعبئة التقرير'!J58,"")</f>
        <v/>
      </c>
      <c r="AK32" s="729">
        <f>IF('Fill out report  تعبئة التقرير'!K58 &gt;=0,'Fill out report  تعبئة التقرير'!K58,"")</f>
        <v>0</v>
      </c>
      <c r="AL32" s="728" t="str">
        <f>IF('Fill out report  تعبئة التقرير'!L58 &gt;=" ",'Fill out report  تعبئة التقرير'!L58,"")</f>
        <v/>
      </c>
      <c r="AM32" s="430" t="str">
        <f>IF('Fill out report  تعبئة التقرير'!O58 &gt; 0,'Fill out report  تعبئة التقرير'!O58,"")</f>
        <v/>
      </c>
      <c r="AN32" s="728" t="str">
        <f>IF('Fill out report  تعبئة التقرير'!Q58 &gt;=" ",'Fill out report  تعبئة التقرير'!Q58,"")</f>
        <v/>
      </c>
      <c r="AO32" s="431" t="str">
        <f>IF('Fill out report  تعبئة التقرير'!R89 &gt; 0,'Fill out report  تعبئة التقرير'!R89,"")</f>
        <v/>
      </c>
      <c r="AP32" s="449"/>
      <c r="AQ32" s="450"/>
    </row>
    <row r="33" spans="1:43" ht="11.85" customHeight="1" thickBot="1">
      <c r="A33" s="448"/>
      <c r="B33" s="449"/>
      <c r="C33" s="449"/>
      <c r="D33" s="449"/>
      <c r="E33" s="449"/>
      <c r="F33" s="449"/>
      <c r="G33" s="449"/>
      <c r="H33" s="449"/>
      <c r="I33" s="449"/>
      <c r="J33" s="449"/>
      <c r="K33" s="449"/>
      <c r="L33" s="449"/>
      <c r="M33" s="449"/>
      <c r="N33" s="449"/>
      <c r="O33" s="449"/>
      <c r="P33" s="449"/>
      <c r="Q33" s="449"/>
      <c r="R33" s="449"/>
      <c r="S33" s="449"/>
      <c r="T33" s="449"/>
      <c r="U33" s="449"/>
      <c r="V33" s="449"/>
      <c r="W33" s="449"/>
      <c r="X33" s="449"/>
      <c r="Y33" s="449"/>
      <c r="Z33" s="449"/>
      <c r="AA33" s="449"/>
      <c r="AB33" s="449"/>
      <c r="AC33" s="449"/>
      <c r="AD33" s="449"/>
      <c r="AE33" s="449"/>
      <c r="AF33" s="449"/>
      <c r="AG33" s="449"/>
      <c r="AH33" s="431" t="str">
        <f>IF('Fill out report  تعبئة التقرير'!E59 &gt;=" ",'Fill out report  تعبئة التقرير'!E59,"")</f>
        <v/>
      </c>
      <c r="AI33" s="728" t="str">
        <f>IF('Fill out report  تعبئة التقرير'!I59 &gt; 0,'Fill out report  تعبئة التقرير'!I59,"")</f>
        <v/>
      </c>
      <c r="AJ33" s="728" t="str">
        <f>IF('Fill out report  تعبئة التقرير'!J59 &gt; 0,'Fill out report  تعبئة التقرير'!J59,"")</f>
        <v/>
      </c>
      <c r="AK33" s="729">
        <f>IF('Fill out report  تعبئة التقرير'!K59 &gt;=0,'Fill out report  تعبئة التقرير'!K59,"")</f>
        <v>0</v>
      </c>
      <c r="AL33" s="728" t="str">
        <f>IF('Fill out report  تعبئة التقرير'!L59 &gt;=" ",'Fill out report  تعبئة التقرير'!L59,"")</f>
        <v/>
      </c>
      <c r="AM33" s="430" t="str">
        <f>IF('Fill out report  تعبئة التقرير'!O59 &gt; 0,'Fill out report  تعبئة التقرير'!O59,"")</f>
        <v/>
      </c>
      <c r="AN33" s="728" t="str">
        <f>IF('Fill out report  تعبئة التقرير'!Q59 &gt;=" ",'Fill out report  تعبئة التقرير'!Q59,"")</f>
        <v/>
      </c>
      <c r="AO33" s="431" t="str">
        <f>IF('Fill out report  تعبئة التقرير'!R90 &gt; 0,'Fill out report  تعبئة التقرير'!R90,"")</f>
        <v/>
      </c>
      <c r="AP33" s="449"/>
      <c r="AQ33" s="450"/>
    </row>
    <row r="34" spans="1:43" ht="11.85" customHeight="1" thickBot="1">
      <c r="A34" s="448"/>
      <c r="B34" s="449"/>
      <c r="C34" s="449"/>
      <c r="D34" s="449"/>
      <c r="E34" s="449"/>
      <c r="F34" s="449"/>
      <c r="G34" s="449"/>
      <c r="H34" s="449"/>
      <c r="I34" s="449"/>
      <c r="J34" s="449"/>
      <c r="K34" s="449"/>
      <c r="L34" s="449"/>
      <c r="M34" s="449"/>
      <c r="N34" s="449"/>
      <c r="O34" s="449"/>
      <c r="P34" s="449"/>
      <c r="Q34" s="449"/>
      <c r="R34" s="449"/>
      <c r="S34" s="449"/>
      <c r="T34" s="449"/>
      <c r="U34" s="449"/>
      <c r="V34" s="449"/>
      <c r="W34" s="449"/>
      <c r="X34" s="449"/>
      <c r="Y34" s="449"/>
      <c r="Z34" s="449"/>
      <c r="AA34" s="449"/>
      <c r="AB34" s="449"/>
      <c r="AC34" s="449"/>
      <c r="AD34" s="449"/>
      <c r="AE34" s="449"/>
      <c r="AF34" s="449"/>
      <c r="AG34" s="449"/>
      <c r="AH34" s="431" t="str">
        <f>IF('Fill out report  تعبئة التقرير'!E60 &gt;=" ",'Fill out report  تعبئة التقرير'!E60,"")</f>
        <v/>
      </c>
      <c r="AI34" s="728" t="str">
        <f>IF('Fill out report  تعبئة التقرير'!I60 &gt; 0,'Fill out report  تعبئة التقرير'!I60,"")</f>
        <v/>
      </c>
      <c r="AJ34" s="728" t="str">
        <f>IF('Fill out report  تعبئة التقرير'!J60 &gt; 0,'Fill out report  تعبئة التقرير'!J60,"")</f>
        <v/>
      </c>
      <c r="AK34" s="729">
        <f>IF('Fill out report  تعبئة التقرير'!K60 &gt;=0,'Fill out report  تعبئة التقرير'!K60,"")</f>
        <v>0</v>
      </c>
      <c r="AL34" s="728" t="str">
        <f>IF('Fill out report  تعبئة التقرير'!L60 &gt;=" ",'Fill out report  تعبئة التقرير'!L60,"")</f>
        <v/>
      </c>
      <c r="AM34" s="430" t="str">
        <f>IF('Fill out report  تعبئة التقرير'!O60 &gt; 0,'Fill out report  تعبئة التقرير'!O60,"")</f>
        <v/>
      </c>
      <c r="AN34" s="728" t="str">
        <f>IF('Fill out report  تعبئة التقرير'!Q60 &gt;=" ",'Fill out report  تعبئة التقرير'!Q60,"")</f>
        <v/>
      </c>
      <c r="AO34" s="431" t="str">
        <f>IF('Fill out report  تعبئة التقرير'!R91 &gt; 0,'Fill out report  تعبئة التقرير'!R91,"")</f>
        <v/>
      </c>
      <c r="AP34" s="449"/>
      <c r="AQ34" s="450"/>
    </row>
    <row r="35" spans="1:43" ht="11.85" customHeight="1" thickBot="1">
      <c r="A35" s="448"/>
      <c r="B35" s="449"/>
      <c r="C35" s="449"/>
      <c r="D35" s="449"/>
      <c r="E35" s="449"/>
      <c r="F35" s="449"/>
      <c r="G35" s="449"/>
      <c r="H35" s="449"/>
      <c r="I35" s="449"/>
      <c r="J35" s="449"/>
      <c r="K35" s="449"/>
      <c r="L35" s="449"/>
      <c r="M35" s="449"/>
      <c r="N35" s="449"/>
      <c r="O35" s="449"/>
      <c r="P35" s="449"/>
      <c r="Q35" s="449"/>
      <c r="R35" s="449"/>
      <c r="S35" s="449"/>
      <c r="T35" s="449"/>
      <c r="U35" s="449"/>
      <c r="V35" s="449"/>
      <c r="W35" s="449"/>
      <c r="X35" s="449"/>
      <c r="Y35" s="449"/>
      <c r="Z35" s="449"/>
      <c r="AA35" s="449"/>
      <c r="AB35" s="449"/>
      <c r="AC35" s="449"/>
      <c r="AD35" s="449"/>
      <c r="AE35" s="449"/>
      <c r="AF35" s="449"/>
      <c r="AG35" s="449"/>
      <c r="AH35" s="431" t="str">
        <f>IF('Fill out report  تعبئة التقرير'!E61 &gt;=" ",'Fill out report  تعبئة التقرير'!E61,"")</f>
        <v/>
      </c>
      <c r="AI35" s="728" t="str">
        <f>IF('Fill out report  تعبئة التقرير'!I61 &gt; 0,'Fill out report  تعبئة التقرير'!I61,"")</f>
        <v/>
      </c>
      <c r="AJ35" s="728" t="str">
        <f>IF('Fill out report  تعبئة التقرير'!J61 &gt; 0,'Fill out report  تعبئة التقرير'!J61,"")</f>
        <v/>
      </c>
      <c r="AK35" s="729">
        <f>IF('Fill out report  تعبئة التقرير'!K61 &gt;=0,'Fill out report  تعبئة التقرير'!K61,"")</f>
        <v>0</v>
      </c>
      <c r="AL35" s="728" t="str">
        <f>IF('Fill out report  تعبئة التقرير'!L61 &gt;=" ",'Fill out report  تعبئة التقرير'!L61,"")</f>
        <v/>
      </c>
      <c r="AM35" s="430" t="str">
        <f>IF('Fill out report  تعبئة التقرير'!O61 &gt; 0,'Fill out report  تعبئة التقرير'!O61,"")</f>
        <v/>
      </c>
      <c r="AN35" s="728" t="str">
        <f>IF('Fill out report  تعبئة التقرير'!Q61 &gt;=" ",'Fill out report  تعبئة التقرير'!Q61,"")</f>
        <v/>
      </c>
      <c r="AO35" s="431" t="str">
        <f>IF('Fill out report  تعبئة التقرير'!R92 &gt; 0,'Fill out report  تعبئة التقرير'!R92,"")</f>
        <v/>
      </c>
      <c r="AP35" s="449"/>
      <c r="AQ35" s="450"/>
    </row>
    <row r="36" spans="1:43" ht="11.85" customHeight="1" thickBot="1">
      <c r="A36" s="448"/>
      <c r="B36" s="449"/>
      <c r="C36" s="449"/>
      <c r="D36" s="449"/>
      <c r="E36" s="449"/>
      <c r="F36" s="449"/>
      <c r="G36" s="449"/>
      <c r="H36" s="449"/>
      <c r="I36" s="449"/>
      <c r="J36" s="449"/>
      <c r="K36" s="449"/>
      <c r="L36" s="449"/>
      <c r="M36" s="449"/>
      <c r="N36" s="449"/>
      <c r="O36" s="449"/>
      <c r="P36" s="449"/>
      <c r="Q36" s="449"/>
      <c r="R36" s="449"/>
      <c r="S36" s="449"/>
      <c r="T36" s="449"/>
      <c r="U36" s="449"/>
      <c r="V36" s="449"/>
      <c r="W36" s="449"/>
      <c r="X36" s="449"/>
      <c r="Y36" s="449"/>
      <c r="Z36" s="449"/>
      <c r="AA36" s="449"/>
      <c r="AB36" s="449"/>
      <c r="AC36" s="449"/>
      <c r="AD36" s="449"/>
      <c r="AE36" s="449"/>
      <c r="AF36" s="449"/>
      <c r="AG36" s="449"/>
      <c r="AH36" s="431" t="str">
        <f>IF('Fill out report  تعبئة التقرير'!E62 &gt;=" ",'Fill out report  تعبئة التقرير'!E62,"")</f>
        <v/>
      </c>
      <c r="AI36" s="728" t="str">
        <f>IF('Fill out report  تعبئة التقرير'!I62 &gt; 0,'Fill out report  تعبئة التقرير'!I62,"")</f>
        <v/>
      </c>
      <c r="AJ36" s="728" t="str">
        <f>IF('Fill out report  تعبئة التقرير'!J62 &gt; 0,'Fill out report  تعبئة التقرير'!J62,"")</f>
        <v/>
      </c>
      <c r="AK36" s="729">
        <f>IF('Fill out report  تعبئة التقرير'!K62 &gt;=0,'Fill out report  تعبئة التقرير'!K62,"")</f>
        <v>0</v>
      </c>
      <c r="AL36" s="728" t="str">
        <f>IF('Fill out report  تعبئة التقرير'!L62 &gt;=" ",'Fill out report  تعبئة التقرير'!L62,"")</f>
        <v/>
      </c>
      <c r="AM36" s="430" t="str">
        <f>IF('Fill out report  تعبئة التقرير'!O62 &gt; 0,'Fill out report  تعبئة التقرير'!O62,"")</f>
        <v/>
      </c>
      <c r="AN36" s="728" t="str">
        <f>IF('Fill out report  تعبئة التقرير'!Q62 &gt;=" ",'Fill out report  تعبئة التقرير'!Q62,"")</f>
        <v/>
      </c>
      <c r="AO36" s="431" t="str">
        <f>IF('Fill out report  تعبئة التقرير'!R93 &gt; 0,'Fill out report  تعبئة التقرير'!R93,"")</f>
        <v/>
      </c>
      <c r="AP36" s="449"/>
      <c r="AQ36" s="450"/>
    </row>
    <row r="37" spans="1:43" ht="11.85" customHeight="1" thickBot="1">
      <c r="A37" s="448"/>
      <c r="B37" s="449"/>
      <c r="C37" s="449"/>
      <c r="D37" s="449"/>
      <c r="E37" s="449"/>
      <c r="F37" s="449"/>
      <c r="G37" s="449"/>
      <c r="H37" s="449"/>
      <c r="I37" s="449"/>
      <c r="J37" s="449"/>
      <c r="K37" s="449"/>
      <c r="L37" s="449"/>
      <c r="M37" s="449"/>
      <c r="N37" s="449"/>
      <c r="O37" s="449"/>
      <c r="P37" s="449"/>
      <c r="Q37" s="449"/>
      <c r="R37" s="449"/>
      <c r="S37" s="449"/>
      <c r="T37" s="449"/>
      <c r="U37" s="449"/>
      <c r="V37" s="449"/>
      <c r="W37" s="449"/>
      <c r="X37" s="449"/>
      <c r="Y37" s="449"/>
      <c r="Z37" s="449"/>
      <c r="AA37" s="449"/>
      <c r="AB37" s="449"/>
      <c r="AC37" s="449"/>
      <c r="AD37" s="449"/>
      <c r="AE37" s="449"/>
      <c r="AF37" s="449"/>
      <c r="AG37" s="449"/>
      <c r="AH37" s="431" t="str">
        <f>IF('Fill out report  تعبئة التقرير'!E63 &gt;=" ",'Fill out report  تعبئة التقرير'!E63,"")</f>
        <v/>
      </c>
      <c r="AI37" s="728" t="str">
        <f>IF('Fill out report  تعبئة التقرير'!I63 &gt; 0,'Fill out report  تعبئة التقرير'!I63,"")</f>
        <v/>
      </c>
      <c r="AJ37" s="728" t="str">
        <f>IF('Fill out report  تعبئة التقرير'!J63 &gt; 0,'Fill out report  تعبئة التقرير'!J63,"")</f>
        <v/>
      </c>
      <c r="AK37" s="729">
        <f>IF('Fill out report  تعبئة التقرير'!K63 &gt;=0,'Fill out report  تعبئة التقرير'!K63,"")</f>
        <v>0</v>
      </c>
      <c r="AL37" s="728" t="str">
        <f>IF('Fill out report  تعبئة التقرير'!L63 &gt;=" ",'Fill out report  تعبئة التقرير'!L63,"")</f>
        <v/>
      </c>
      <c r="AM37" s="430" t="str">
        <f>IF('Fill out report  تعبئة التقرير'!O63 &gt; 0,'Fill out report  تعبئة التقرير'!O63,"")</f>
        <v/>
      </c>
      <c r="AN37" s="728" t="str">
        <f>IF('Fill out report  تعبئة التقرير'!Q63 &gt;=" ",'Fill out report  تعبئة التقرير'!Q63,"")</f>
        <v/>
      </c>
      <c r="AO37" s="431" t="str">
        <f>IF('Fill out report  تعبئة التقرير'!R94 &gt; 0,'Fill out report  تعبئة التقرير'!R94,"")</f>
        <v/>
      </c>
      <c r="AP37" s="449"/>
      <c r="AQ37" s="450"/>
    </row>
    <row r="38" spans="1:43" ht="11.85" customHeight="1" thickBot="1">
      <c r="A38" s="448"/>
      <c r="B38" s="449"/>
      <c r="C38" s="449"/>
      <c r="D38" s="449"/>
      <c r="E38" s="449"/>
      <c r="F38" s="449"/>
      <c r="G38" s="449"/>
      <c r="H38" s="449"/>
      <c r="I38" s="449"/>
      <c r="J38" s="449"/>
      <c r="K38" s="449"/>
      <c r="L38" s="449"/>
      <c r="M38" s="449"/>
      <c r="N38" s="449"/>
      <c r="O38" s="449"/>
      <c r="P38" s="449"/>
      <c r="Q38" s="449"/>
      <c r="R38" s="449"/>
      <c r="S38" s="449"/>
      <c r="T38" s="449"/>
      <c r="U38" s="449"/>
      <c r="V38" s="449"/>
      <c r="W38" s="449"/>
      <c r="X38" s="449"/>
      <c r="Y38" s="449"/>
      <c r="Z38" s="449"/>
      <c r="AA38" s="449"/>
      <c r="AB38" s="449"/>
      <c r="AC38" s="449"/>
      <c r="AD38" s="449"/>
      <c r="AE38" s="449"/>
      <c r="AF38" s="449"/>
      <c r="AG38" s="449"/>
      <c r="AH38" s="431" t="str">
        <f>IF('Fill out report  تعبئة التقرير'!E64 &gt;=" ",'Fill out report  تعبئة التقرير'!E64,"")</f>
        <v/>
      </c>
      <c r="AI38" s="728" t="str">
        <f>IF('Fill out report  تعبئة التقرير'!I64 &gt; 0,'Fill out report  تعبئة التقرير'!I64,"")</f>
        <v/>
      </c>
      <c r="AJ38" s="728" t="str">
        <f>IF('Fill out report  تعبئة التقرير'!J64 &gt; 0,'Fill out report  تعبئة التقرير'!J64,"")</f>
        <v/>
      </c>
      <c r="AK38" s="729">
        <f>IF('Fill out report  تعبئة التقرير'!K64 &gt;=0,'Fill out report  تعبئة التقرير'!K64,"")</f>
        <v>0</v>
      </c>
      <c r="AL38" s="728" t="str">
        <f>IF('Fill out report  تعبئة التقرير'!L64 &gt;=" ",'Fill out report  تعبئة التقرير'!L64,"")</f>
        <v/>
      </c>
      <c r="AM38" s="430" t="str">
        <f>IF('Fill out report  تعبئة التقرير'!O64 &gt; 0,'Fill out report  تعبئة التقرير'!O64,"")</f>
        <v/>
      </c>
      <c r="AN38" s="728" t="str">
        <f>IF('Fill out report  تعبئة التقرير'!Q64 &gt;=" ",'Fill out report  تعبئة التقرير'!Q64,"")</f>
        <v/>
      </c>
      <c r="AO38" s="431" t="str">
        <f>IF('Fill out report  تعبئة التقرير'!R95 &gt; 0,'Fill out report  تعبئة التقرير'!R95,"")</f>
        <v/>
      </c>
      <c r="AP38" s="449"/>
      <c r="AQ38" s="450"/>
    </row>
    <row r="39" spans="1:43" ht="11.85" customHeight="1" thickBot="1">
      <c r="A39" s="448"/>
      <c r="B39" s="449"/>
      <c r="C39" s="449"/>
      <c r="D39" s="449"/>
      <c r="E39" s="449"/>
      <c r="F39" s="449"/>
      <c r="G39" s="449"/>
      <c r="H39" s="449"/>
      <c r="I39" s="449"/>
      <c r="J39" s="449"/>
      <c r="K39" s="449"/>
      <c r="L39" s="449"/>
      <c r="M39" s="449"/>
      <c r="N39" s="449"/>
      <c r="O39" s="449"/>
      <c r="P39" s="449"/>
      <c r="Q39" s="449"/>
      <c r="R39" s="449"/>
      <c r="S39" s="449"/>
      <c r="T39" s="449"/>
      <c r="U39" s="449"/>
      <c r="V39" s="449"/>
      <c r="W39" s="449"/>
      <c r="X39" s="449"/>
      <c r="Y39" s="449"/>
      <c r="Z39" s="449"/>
      <c r="AA39" s="449"/>
      <c r="AB39" s="449"/>
      <c r="AC39" s="449"/>
      <c r="AD39" s="449"/>
      <c r="AE39" s="449"/>
      <c r="AF39" s="449"/>
      <c r="AG39" s="449"/>
      <c r="AH39" s="431" t="str">
        <f>IF('Fill out report  تعبئة التقرير'!E65 &gt;=" ",'Fill out report  تعبئة التقرير'!E65,"")</f>
        <v/>
      </c>
      <c r="AI39" s="728" t="str">
        <f>IF('Fill out report  تعبئة التقرير'!I65 &gt; 0,'Fill out report  تعبئة التقرير'!I65,"")</f>
        <v/>
      </c>
      <c r="AJ39" s="728" t="str">
        <f>IF('Fill out report  تعبئة التقرير'!J65 &gt; 0,'Fill out report  تعبئة التقرير'!J65,"")</f>
        <v/>
      </c>
      <c r="AK39" s="729">
        <f>IF('Fill out report  تعبئة التقرير'!K65 &gt;=0,'Fill out report  تعبئة التقرير'!K65,"")</f>
        <v>0</v>
      </c>
      <c r="AL39" s="728" t="str">
        <f>IF('Fill out report  تعبئة التقرير'!L65 &gt;=" ",'Fill out report  تعبئة التقرير'!L65,"")</f>
        <v/>
      </c>
      <c r="AM39" s="430" t="str">
        <f>IF('Fill out report  تعبئة التقرير'!O65 &gt; 0,'Fill out report  تعبئة التقرير'!O65,"")</f>
        <v/>
      </c>
      <c r="AN39" s="728" t="str">
        <f>IF('Fill out report  تعبئة التقرير'!Q65 &gt;=" ",'Fill out report  تعبئة التقرير'!Q65,"")</f>
        <v/>
      </c>
      <c r="AO39" s="431" t="str">
        <f>IF('Fill out report  تعبئة التقرير'!R96 &gt; 0,'Fill out report  تعبئة التقرير'!R96,"")</f>
        <v/>
      </c>
      <c r="AP39" s="449"/>
      <c r="AQ39" s="450"/>
    </row>
    <row r="40" spans="1:43" ht="11.85" customHeight="1" thickBot="1">
      <c r="A40" s="448"/>
      <c r="B40" s="449"/>
      <c r="C40" s="449"/>
      <c r="D40" s="449"/>
      <c r="E40" s="449"/>
      <c r="F40" s="449"/>
      <c r="G40" s="449"/>
      <c r="H40" s="449"/>
      <c r="I40" s="449"/>
      <c r="J40" s="449"/>
      <c r="K40" s="449"/>
      <c r="L40" s="449"/>
      <c r="M40" s="449"/>
      <c r="N40" s="449"/>
      <c r="O40" s="449"/>
      <c r="P40" s="449"/>
      <c r="Q40" s="449"/>
      <c r="R40" s="449"/>
      <c r="S40" s="449"/>
      <c r="T40" s="449"/>
      <c r="U40" s="449"/>
      <c r="V40" s="449"/>
      <c r="W40" s="449"/>
      <c r="X40" s="449"/>
      <c r="Y40" s="449"/>
      <c r="Z40" s="449"/>
      <c r="AA40" s="449"/>
      <c r="AB40" s="449"/>
      <c r="AC40" s="449"/>
      <c r="AD40" s="449"/>
      <c r="AE40" s="449"/>
      <c r="AF40" s="449"/>
      <c r="AG40" s="449"/>
      <c r="AH40" s="431" t="str">
        <f>IF('Fill out report  تعبئة التقرير'!E66 &gt;=" ",'Fill out report  تعبئة التقرير'!E66,"")</f>
        <v/>
      </c>
      <c r="AI40" s="728" t="str">
        <f>IF('Fill out report  تعبئة التقرير'!I66 &gt; 0,'Fill out report  تعبئة التقرير'!I66,"")</f>
        <v/>
      </c>
      <c r="AJ40" s="728" t="str">
        <f>IF('Fill out report  تعبئة التقرير'!J66 &gt; 0,'Fill out report  تعبئة التقرير'!J66,"")</f>
        <v/>
      </c>
      <c r="AK40" s="729">
        <f>IF('Fill out report  تعبئة التقرير'!K66 &gt;=0,'Fill out report  تعبئة التقرير'!K66,"")</f>
        <v>0</v>
      </c>
      <c r="AL40" s="728" t="str">
        <f>IF('Fill out report  تعبئة التقرير'!L66 &gt;=" ",'Fill out report  تعبئة التقرير'!L66,"")</f>
        <v/>
      </c>
      <c r="AM40" s="430" t="str">
        <f>IF('Fill out report  تعبئة التقرير'!O66 &gt; 0,'Fill out report  تعبئة التقرير'!O66,"")</f>
        <v/>
      </c>
      <c r="AN40" s="728" t="str">
        <f>IF('Fill out report  تعبئة التقرير'!Q66 &gt;=" ",'Fill out report  تعبئة التقرير'!Q66,"")</f>
        <v/>
      </c>
      <c r="AO40" s="431" t="str">
        <f>IF('Fill out report  تعبئة التقرير'!R97 &gt; 0,'Fill out report  تعبئة التقرير'!R97,"")</f>
        <v/>
      </c>
      <c r="AP40" s="449"/>
      <c r="AQ40" s="450"/>
    </row>
    <row r="41" spans="1:43" ht="11.85" customHeight="1" thickBot="1">
      <c r="A41" s="448"/>
      <c r="B41" s="449"/>
      <c r="C41" s="449"/>
      <c r="D41" s="449"/>
      <c r="E41" s="449"/>
      <c r="F41" s="449"/>
      <c r="G41" s="449"/>
      <c r="H41" s="449"/>
      <c r="I41" s="449"/>
      <c r="J41" s="449"/>
      <c r="K41" s="449"/>
      <c r="L41" s="449"/>
      <c r="M41" s="449"/>
      <c r="N41" s="449"/>
      <c r="O41" s="449"/>
      <c r="P41" s="449"/>
      <c r="Q41" s="449"/>
      <c r="R41" s="449"/>
      <c r="S41" s="449"/>
      <c r="T41" s="449"/>
      <c r="U41" s="449"/>
      <c r="V41" s="449"/>
      <c r="W41" s="449"/>
      <c r="X41" s="449"/>
      <c r="Y41" s="449"/>
      <c r="Z41" s="449"/>
      <c r="AA41" s="449"/>
      <c r="AB41" s="449"/>
      <c r="AC41" s="449"/>
      <c r="AD41" s="449"/>
      <c r="AE41" s="449"/>
      <c r="AF41" s="449"/>
      <c r="AG41" s="449"/>
      <c r="AH41" s="431" t="str">
        <f>IF('Fill out report  تعبئة التقرير'!E67 &gt;=" ",'Fill out report  تعبئة التقرير'!E67,"")</f>
        <v/>
      </c>
      <c r="AI41" s="728" t="str">
        <f>IF('Fill out report  تعبئة التقرير'!I67 &gt; 0,'Fill out report  تعبئة التقرير'!I67,"")</f>
        <v/>
      </c>
      <c r="AJ41" s="728" t="str">
        <f>IF('Fill out report  تعبئة التقرير'!J67 &gt; 0,'Fill out report  تعبئة التقرير'!J67,"")</f>
        <v/>
      </c>
      <c r="AK41" s="729">
        <f>IF('Fill out report  تعبئة التقرير'!K67 &gt;=0,'Fill out report  تعبئة التقرير'!K67,"")</f>
        <v>0</v>
      </c>
      <c r="AL41" s="728" t="str">
        <f>IF('Fill out report  تعبئة التقرير'!L67 &gt;=" ",'Fill out report  تعبئة التقرير'!L67,"")</f>
        <v/>
      </c>
      <c r="AM41" s="430" t="str">
        <f>IF('Fill out report  تعبئة التقرير'!O67 &gt; 0,'Fill out report  تعبئة التقرير'!O67,"")</f>
        <v/>
      </c>
      <c r="AN41" s="728" t="str">
        <f>IF('Fill out report  تعبئة التقرير'!Q67 &gt;=" ",'Fill out report  تعبئة التقرير'!Q67,"")</f>
        <v/>
      </c>
      <c r="AO41" s="431" t="str">
        <f>IF('Fill out report  تعبئة التقرير'!R98 &gt; 0,'Fill out report  تعبئة التقرير'!R98,"")</f>
        <v/>
      </c>
      <c r="AP41" s="449"/>
      <c r="AQ41" s="450"/>
    </row>
    <row r="42" spans="1:43" ht="11.85" customHeight="1" thickBot="1">
      <c r="A42" s="448"/>
      <c r="B42" s="449"/>
      <c r="C42" s="449"/>
      <c r="D42" s="449"/>
      <c r="E42" s="449"/>
      <c r="F42" s="449"/>
      <c r="G42" s="449"/>
      <c r="H42" s="449"/>
      <c r="I42" s="449"/>
      <c r="J42" s="449"/>
      <c r="K42" s="449"/>
      <c r="L42" s="449"/>
      <c r="M42" s="449"/>
      <c r="N42" s="449"/>
      <c r="O42" s="449"/>
      <c r="P42" s="449"/>
      <c r="Q42" s="449"/>
      <c r="R42" s="449"/>
      <c r="S42" s="449"/>
      <c r="T42" s="449"/>
      <c r="U42" s="449"/>
      <c r="V42" s="449"/>
      <c r="W42" s="449"/>
      <c r="X42" s="449"/>
      <c r="Y42" s="449"/>
      <c r="Z42" s="449"/>
      <c r="AA42" s="449"/>
      <c r="AB42" s="449"/>
      <c r="AC42" s="449"/>
      <c r="AD42" s="449"/>
      <c r="AE42" s="449"/>
      <c r="AF42" s="449"/>
      <c r="AG42" s="449"/>
      <c r="AH42" s="431" t="str">
        <f>IF('Fill out report  تعبئة التقرير'!E68 &gt;=" ",'Fill out report  تعبئة التقرير'!E68,"")</f>
        <v/>
      </c>
      <c r="AI42" s="728" t="str">
        <f>IF('Fill out report  تعبئة التقرير'!I68 &gt; 0,'Fill out report  تعبئة التقرير'!I68,"")</f>
        <v/>
      </c>
      <c r="AJ42" s="728" t="str">
        <f>IF('Fill out report  تعبئة التقرير'!J68 &gt; 0,'Fill out report  تعبئة التقرير'!J68,"")</f>
        <v/>
      </c>
      <c r="AK42" s="729">
        <f>IF('Fill out report  تعبئة التقرير'!K68 &gt;=0,'Fill out report  تعبئة التقرير'!K68,"")</f>
        <v>0</v>
      </c>
      <c r="AL42" s="728" t="str">
        <f>IF('Fill out report  تعبئة التقرير'!L68 &gt;=" ",'Fill out report  تعبئة التقرير'!L68,"")</f>
        <v/>
      </c>
      <c r="AM42" s="430" t="str">
        <f>IF('Fill out report  تعبئة التقرير'!O68 &gt; 0,'Fill out report  تعبئة التقرير'!O68,"")</f>
        <v/>
      </c>
      <c r="AN42" s="728" t="str">
        <f>IF('Fill out report  تعبئة التقرير'!Q68 &gt;=" ",'Fill out report  تعبئة التقرير'!Q68,"")</f>
        <v/>
      </c>
      <c r="AO42" s="431" t="str">
        <f>IF('Fill out report  تعبئة التقرير'!R99 &gt; 0,'Fill out report  تعبئة التقرير'!R99,"")</f>
        <v/>
      </c>
      <c r="AP42" s="449"/>
      <c r="AQ42" s="450"/>
    </row>
    <row r="43" spans="1:43" ht="11.85" customHeight="1" thickBot="1">
      <c r="A43" s="448"/>
      <c r="B43" s="449"/>
      <c r="C43" s="449"/>
      <c r="D43" s="449"/>
      <c r="E43" s="449"/>
      <c r="F43" s="449"/>
      <c r="G43" s="449"/>
      <c r="H43" s="449"/>
      <c r="I43" s="449"/>
      <c r="J43" s="449"/>
      <c r="K43" s="449"/>
      <c r="L43" s="449"/>
      <c r="M43" s="449"/>
      <c r="N43" s="449"/>
      <c r="O43" s="449"/>
      <c r="P43" s="449"/>
      <c r="Q43" s="449"/>
      <c r="R43" s="449"/>
      <c r="S43" s="449"/>
      <c r="T43" s="449"/>
      <c r="U43" s="449"/>
      <c r="V43" s="449"/>
      <c r="W43" s="449"/>
      <c r="X43" s="449"/>
      <c r="Y43" s="449"/>
      <c r="Z43" s="449"/>
      <c r="AA43" s="449"/>
      <c r="AB43" s="449"/>
      <c r="AC43" s="449"/>
      <c r="AD43" s="449"/>
      <c r="AE43" s="449"/>
      <c r="AF43" s="449"/>
      <c r="AG43" s="449"/>
      <c r="AH43" s="431" t="str">
        <f>IF('Fill out report  تعبئة التقرير'!E69 &gt;=" ",'Fill out report  تعبئة التقرير'!E69,"")</f>
        <v/>
      </c>
      <c r="AI43" s="728" t="str">
        <f>IF('Fill out report  تعبئة التقرير'!I69 &gt; 0,'Fill out report  تعبئة التقرير'!I69,"")</f>
        <v/>
      </c>
      <c r="AJ43" s="728" t="str">
        <f>IF('Fill out report  تعبئة التقرير'!J69 &gt; 0,'Fill out report  تعبئة التقرير'!J69,"")</f>
        <v/>
      </c>
      <c r="AK43" s="729">
        <f>IF('Fill out report  تعبئة التقرير'!K69 &gt;=0,'Fill out report  تعبئة التقرير'!K69,"")</f>
        <v>0</v>
      </c>
      <c r="AL43" s="728" t="str">
        <f>IF('Fill out report  تعبئة التقرير'!L69 &gt;=" ",'Fill out report  تعبئة التقرير'!L69,"")</f>
        <v/>
      </c>
      <c r="AM43" s="430" t="str">
        <f>IF('Fill out report  تعبئة التقرير'!O69 &gt; 0,'Fill out report  تعبئة التقرير'!O69,"")</f>
        <v/>
      </c>
      <c r="AN43" s="728" t="str">
        <f>IF('Fill out report  تعبئة التقرير'!Q69 &gt;=" ",'Fill out report  تعبئة التقرير'!Q69,"")</f>
        <v/>
      </c>
      <c r="AO43" s="431" t="str">
        <f>IF('Fill out report  تعبئة التقرير'!R100 &gt; 0,'Fill out report  تعبئة التقرير'!R100,"")</f>
        <v/>
      </c>
      <c r="AP43" s="449"/>
      <c r="AQ43" s="450"/>
    </row>
    <row r="44" spans="1:43" ht="11.85" customHeight="1" thickBot="1">
      <c r="A44" s="448"/>
      <c r="B44" s="449"/>
      <c r="C44" s="449"/>
      <c r="D44" s="449"/>
      <c r="E44" s="449"/>
      <c r="F44" s="449"/>
      <c r="G44" s="449"/>
      <c r="H44" s="449"/>
      <c r="I44" s="449"/>
      <c r="J44" s="449"/>
      <c r="K44" s="449"/>
      <c r="L44" s="449"/>
      <c r="M44" s="449"/>
      <c r="N44" s="449"/>
      <c r="O44" s="449"/>
      <c r="P44" s="449"/>
      <c r="Q44" s="449"/>
      <c r="R44" s="449"/>
      <c r="S44" s="449"/>
      <c r="T44" s="449"/>
      <c r="U44" s="449"/>
      <c r="V44" s="449"/>
      <c r="W44" s="449"/>
      <c r="X44" s="449"/>
      <c r="Y44" s="449"/>
      <c r="Z44" s="449"/>
      <c r="AA44" s="449"/>
      <c r="AB44" s="449"/>
      <c r="AC44" s="449"/>
      <c r="AD44" s="449"/>
      <c r="AE44" s="449"/>
      <c r="AF44" s="449"/>
      <c r="AG44" s="449"/>
      <c r="AH44" s="431" t="str">
        <f>IF('Fill out report  تعبئة التقرير'!E70 &gt;=" ",'Fill out report  تعبئة التقرير'!E70,"")</f>
        <v/>
      </c>
      <c r="AI44" s="728" t="str">
        <f>IF('Fill out report  تعبئة التقرير'!I70 &gt; 0,'Fill out report  تعبئة التقرير'!I70,"")</f>
        <v/>
      </c>
      <c r="AJ44" s="728" t="str">
        <f>IF('Fill out report  تعبئة التقرير'!J70 &gt; 0,'Fill out report  تعبئة التقرير'!J70,"")</f>
        <v/>
      </c>
      <c r="AK44" s="729">
        <f>IF('Fill out report  تعبئة التقرير'!K70 &gt;=0,'Fill out report  تعبئة التقرير'!K70,"")</f>
        <v>0</v>
      </c>
      <c r="AL44" s="728" t="str">
        <f>IF('Fill out report  تعبئة التقرير'!L70 &gt;=" ",'Fill out report  تعبئة التقرير'!L70,"")</f>
        <v/>
      </c>
      <c r="AM44" s="430" t="str">
        <f>IF('Fill out report  تعبئة التقرير'!O70 &gt; 0,'Fill out report  تعبئة التقرير'!O70,"")</f>
        <v/>
      </c>
      <c r="AN44" s="728" t="str">
        <f>IF('Fill out report  تعبئة التقرير'!Q70 &gt;=" ",'Fill out report  تعبئة التقرير'!Q70,"")</f>
        <v/>
      </c>
      <c r="AO44" s="431" t="str">
        <f>IF('Fill out report  تعبئة التقرير'!R101 &gt; 0,'Fill out report  تعبئة التقرير'!R101,"")</f>
        <v/>
      </c>
      <c r="AP44" s="449"/>
      <c r="AQ44" s="450"/>
    </row>
    <row r="45" spans="1:43" ht="11.85" customHeight="1" thickBot="1">
      <c r="A45" s="448"/>
      <c r="B45" s="449"/>
      <c r="C45" s="449"/>
      <c r="D45" s="449"/>
      <c r="E45" s="449"/>
      <c r="F45" s="449"/>
      <c r="G45" s="449"/>
      <c r="H45" s="449"/>
      <c r="I45" s="449"/>
      <c r="J45" s="449"/>
      <c r="K45" s="449"/>
      <c r="L45" s="449"/>
      <c r="M45" s="449"/>
      <c r="N45" s="449"/>
      <c r="O45" s="449"/>
      <c r="P45" s="449"/>
      <c r="Q45" s="449"/>
      <c r="R45" s="449"/>
      <c r="S45" s="449"/>
      <c r="T45" s="449"/>
      <c r="U45" s="449"/>
      <c r="V45" s="449"/>
      <c r="W45" s="449"/>
      <c r="X45" s="449"/>
      <c r="Y45" s="449"/>
      <c r="Z45" s="449"/>
      <c r="AA45" s="449"/>
      <c r="AB45" s="449"/>
      <c r="AC45" s="449"/>
      <c r="AD45" s="449"/>
      <c r="AE45" s="449"/>
      <c r="AF45" s="449"/>
      <c r="AG45" s="449"/>
      <c r="AH45" s="431" t="str">
        <f>IF('Fill out report  تعبئة التقرير'!E71 &gt;=" ",'Fill out report  تعبئة التقرير'!E71,"")</f>
        <v/>
      </c>
      <c r="AI45" s="728" t="str">
        <f>IF('Fill out report  تعبئة التقرير'!I71 &gt; 0,'Fill out report  تعبئة التقرير'!I71,"")</f>
        <v/>
      </c>
      <c r="AJ45" s="728" t="str">
        <f>IF('Fill out report  تعبئة التقرير'!J71 &gt; 0,'Fill out report  تعبئة التقرير'!J71,"")</f>
        <v/>
      </c>
      <c r="AK45" s="729">
        <f>IF('Fill out report  تعبئة التقرير'!K71 &gt;=0,'Fill out report  تعبئة التقرير'!K71,"")</f>
        <v>0</v>
      </c>
      <c r="AL45" s="728" t="str">
        <f>IF('Fill out report  تعبئة التقرير'!L71 &gt;=" ",'Fill out report  تعبئة التقرير'!L71,"")</f>
        <v/>
      </c>
      <c r="AM45" s="430" t="str">
        <f>IF('Fill out report  تعبئة التقرير'!O71 &gt; 0,'Fill out report  تعبئة التقرير'!O71,"")</f>
        <v/>
      </c>
      <c r="AN45" s="728" t="str">
        <f>IF('Fill out report  تعبئة التقرير'!Q71 &gt;=" ",'Fill out report  تعبئة التقرير'!Q71,"")</f>
        <v/>
      </c>
      <c r="AO45" s="431" t="str">
        <f>IF('Fill out report  تعبئة التقرير'!R102 &gt; 0,'Fill out report  تعبئة التقرير'!R102,"")</f>
        <v/>
      </c>
      <c r="AP45" s="449"/>
      <c r="AQ45" s="450"/>
    </row>
    <row r="46" spans="1:43" ht="11.85" customHeight="1" thickBot="1">
      <c r="A46" s="448"/>
      <c r="B46" s="449"/>
      <c r="C46" s="449"/>
      <c r="D46" s="449"/>
      <c r="E46" s="449"/>
      <c r="F46" s="449"/>
      <c r="G46" s="449"/>
      <c r="H46" s="449"/>
      <c r="I46" s="449"/>
      <c r="J46" s="449"/>
      <c r="K46" s="449"/>
      <c r="L46" s="449"/>
      <c r="M46" s="449"/>
      <c r="N46" s="449"/>
      <c r="O46" s="449"/>
      <c r="P46" s="449"/>
      <c r="Q46" s="449"/>
      <c r="R46" s="449"/>
      <c r="S46" s="449"/>
      <c r="T46" s="449"/>
      <c r="U46" s="449"/>
      <c r="V46" s="449"/>
      <c r="W46" s="449"/>
      <c r="X46" s="449"/>
      <c r="Y46" s="449"/>
      <c r="Z46" s="449"/>
      <c r="AA46" s="449"/>
      <c r="AB46" s="449"/>
      <c r="AC46" s="449"/>
      <c r="AD46" s="449"/>
      <c r="AE46" s="449"/>
      <c r="AF46" s="449"/>
      <c r="AG46" s="449"/>
      <c r="AH46" s="431" t="str">
        <f>IF('Fill out report  تعبئة التقرير'!E72 &gt;=" ",'Fill out report  تعبئة التقرير'!E72,"")</f>
        <v/>
      </c>
      <c r="AI46" s="728" t="str">
        <f>IF('Fill out report  تعبئة التقرير'!I72 &gt; 0,'Fill out report  تعبئة التقرير'!I72,"")</f>
        <v/>
      </c>
      <c r="AJ46" s="728" t="str">
        <f>IF('Fill out report  تعبئة التقرير'!J72 &gt; 0,'Fill out report  تعبئة التقرير'!J72,"")</f>
        <v/>
      </c>
      <c r="AK46" s="729">
        <f>IF('Fill out report  تعبئة التقرير'!K72 &gt;=0,'Fill out report  تعبئة التقرير'!K72,"")</f>
        <v>0</v>
      </c>
      <c r="AL46" s="728" t="str">
        <f>IF('Fill out report  تعبئة التقرير'!L72 &gt;=" ",'Fill out report  تعبئة التقرير'!L72,"")</f>
        <v/>
      </c>
      <c r="AM46" s="430" t="str">
        <f>IF('Fill out report  تعبئة التقرير'!O72 &gt; 0,'Fill out report  تعبئة التقرير'!O72,"")</f>
        <v/>
      </c>
      <c r="AN46" s="728" t="str">
        <f>IF('Fill out report  تعبئة التقرير'!Q72 &gt;=" ",'Fill out report  تعبئة التقرير'!Q72,"")</f>
        <v/>
      </c>
      <c r="AO46" s="431" t="str">
        <f>IF('Fill out report  تعبئة التقرير'!R103 &gt; 0,'Fill out report  تعبئة التقرير'!R103,"")</f>
        <v/>
      </c>
      <c r="AP46" s="449"/>
      <c r="AQ46" s="450"/>
    </row>
    <row r="47" spans="1:43" ht="11.85" customHeight="1" thickBot="1">
      <c r="A47" s="448"/>
      <c r="B47" s="449"/>
      <c r="C47" s="449"/>
      <c r="D47" s="449"/>
      <c r="E47" s="449"/>
      <c r="F47" s="449"/>
      <c r="G47" s="449"/>
      <c r="H47" s="449"/>
      <c r="I47" s="449"/>
      <c r="J47" s="449"/>
      <c r="K47" s="449"/>
      <c r="L47" s="449"/>
      <c r="M47" s="449"/>
      <c r="N47" s="449"/>
      <c r="O47" s="449"/>
      <c r="P47" s="449"/>
      <c r="Q47" s="449"/>
      <c r="R47" s="449"/>
      <c r="S47" s="449"/>
      <c r="T47" s="449"/>
      <c r="U47" s="449"/>
      <c r="V47" s="449"/>
      <c r="W47" s="449"/>
      <c r="X47" s="449"/>
      <c r="Y47" s="449"/>
      <c r="Z47" s="449"/>
      <c r="AA47" s="449"/>
      <c r="AB47" s="449"/>
      <c r="AC47" s="449"/>
      <c r="AD47" s="449"/>
      <c r="AE47" s="449"/>
      <c r="AF47" s="449"/>
      <c r="AG47" s="449"/>
      <c r="AH47" s="431" t="str">
        <f>IF('Fill out report  تعبئة التقرير'!E73 &gt;=" ",'Fill out report  تعبئة التقرير'!E73,"")</f>
        <v/>
      </c>
      <c r="AI47" s="728" t="str">
        <f>IF('Fill out report  تعبئة التقرير'!I73 &gt; 0,'Fill out report  تعبئة التقرير'!I73,"")</f>
        <v/>
      </c>
      <c r="AJ47" s="728" t="str">
        <f>IF('Fill out report  تعبئة التقرير'!J73 &gt; 0,'Fill out report  تعبئة التقرير'!J73,"")</f>
        <v/>
      </c>
      <c r="AK47" s="729">
        <f>IF('Fill out report  تعبئة التقرير'!K73 &gt;=0,'Fill out report  تعبئة التقرير'!K73,"")</f>
        <v>0</v>
      </c>
      <c r="AL47" s="728" t="str">
        <f>IF('Fill out report  تعبئة التقرير'!L73 &gt;=" ",'Fill out report  تعبئة التقرير'!L73,"")</f>
        <v/>
      </c>
      <c r="AM47" s="430" t="str">
        <f>IF('Fill out report  تعبئة التقرير'!O73 &gt; 0,'Fill out report  تعبئة التقرير'!O73,"")</f>
        <v/>
      </c>
      <c r="AN47" s="728" t="str">
        <f>IF('Fill out report  تعبئة التقرير'!Q73 &gt;=" ",'Fill out report  تعبئة التقرير'!Q73,"")</f>
        <v/>
      </c>
      <c r="AO47" s="431" t="str">
        <f>IF('Fill out report  تعبئة التقرير'!R104 &gt; 0,'Fill out report  تعبئة التقرير'!R104,"")</f>
        <v/>
      </c>
      <c r="AP47" s="449"/>
      <c r="AQ47" s="450"/>
    </row>
    <row r="48" spans="1:43" ht="11.85" customHeight="1" thickBot="1">
      <c r="A48" s="448"/>
      <c r="B48" s="449"/>
      <c r="C48" s="449"/>
      <c r="D48" s="449"/>
      <c r="E48" s="449"/>
      <c r="F48" s="449"/>
      <c r="G48" s="449"/>
      <c r="H48" s="449"/>
      <c r="I48" s="449"/>
      <c r="J48" s="449"/>
      <c r="K48" s="449"/>
      <c r="L48" s="449"/>
      <c r="M48" s="449"/>
      <c r="N48" s="449"/>
      <c r="O48" s="449"/>
      <c r="P48" s="449"/>
      <c r="Q48" s="449"/>
      <c r="R48" s="449"/>
      <c r="S48" s="449"/>
      <c r="T48" s="449"/>
      <c r="U48" s="449"/>
      <c r="V48" s="449"/>
      <c r="W48" s="449"/>
      <c r="X48" s="449"/>
      <c r="Y48" s="449"/>
      <c r="Z48" s="449"/>
      <c r="AA48" s="449"/>
      <c r="AB48" s="449"/>
      <c r="AC48" s="449"/>
      <c r="AD48" s="449"/>
      <c r="AE48" s="449"/>
      <c r="AF48" s="449"/>
      <c r="AG48" s="449"/>
      <c r="AH48" s="431" t="str">
        <f>IF('Fill out report  تعبئة التقرير'!E74 &gt;=" ",'Fill out report  تعبئة التقرير'!E74,"")</f>
        <v/>
      </c>
      <c r="AI48" s="728" t="str">
        <f>IF('Fill out report  تعبئة التقرير'!I74 &gt; 0,'Fill out report  تعبئة التقرير'!I74,"")</f>
        <v/>
      </c>
      <c r="AJ48" s="728" t="str">
        <f>IF('Fill out report  تعبئة التقرير'!J74 &gt; 0,'Fill out report  تعبئة التقرير'!J74,"")</f>
        <v/>
      </c>
      <c r="AK48" s="729">
        <f>IF('Fill out report  تعبئة التقرير'!K74 &gt;=0,'Fill out report  تعبئة التقرير'!K74,"")</f>
        <v>0</v>
      </c>
      <c r="AL48" s="728" t="str">
        <f>IF('Fill out report  تعبئة التقرير'!L74 &gt;=" ",'Fill out report  تعبئة التقرير'!L74,"")</f>
        <v/>
      </c>
      <c r="AM48" s="430" t="str">
        <f>IF('Fill out report  تعبئة التقرير'!O74 &gt; 0,'Fill out report  تعبئة التقرير'!O74,"")</f>
        <v/>
      </c>
      <c r="AN48" s="728" t="str">
        <f>IF('Fill out report  تعبئة التقرير'!Q74 &gt;=" ",'Fill out report  تعبئة التقرير'!Q74,"")</f>
        <v/>
      </c>
      <c r="AO48" s="431" t="str">
        <f>IF('Fill out report  تعبئة التقرير'!R105 &gt; 0,'Fill out report  تعبئة التقرير'!R105,"")</f>
        <v/>
      </c>
      <c r="AP48" s="449"/>
      <c r="AQ48" s="450"/>
    </row>
    <row r="49" spans="1:43" ht="11.85" customHeight="1" thickBot="1">
      <c r="A49" s="448"/>
      <c r="B49" s="449"/>
      <c r="C49" s="449"/>
      <c r="D49" s="449"/>
      <c r="E49" s="449"/>
      <c r="F49" s="449"/>
      <c r="G49" s="449"/>
      <c r="H49" s="449"/>
      <c r="I49" s="449"/>
      <c r="J49" s="449"/>
      <c r="K49" s="449"/>
      <c r="L49" s="449"/>
      <c r="M49" s="449"/>
      <c r="N49" s="449"/>
      <c r="O49" s="449"/>
      <c r="P49" s="449"/>
      <c r="Q49" s="449"/>
      <c r="R49" s="449"/>
      <c r="S49" s="449"/>
      <c r="T49" s="449"/>
      <c r="U49" s="449"/>
      <c r="V49" s="449"/>
      <c r="W49" s="449"/>
      <c r="X49" s="449"/>
      <c r="Y49" s="449"/>
      <c r="Z49" s="449"/>
      <c r="AA49" s="449"/>
      <c r="AB49" s="449"/>
      <c r="AC49" s="449"/>
      <c r="AD49" s="449"/>
      <c r="AE49" s="449"/>
      <c r="AF49" s="449"/>
      <c r="AG49" s="449"/>
      <c r="AH49" s="431" t="str">
        <f>IF('Fill out report  تعبئة التقرير'!E75 &gt;=" ",'Fill out report  تعبئة التقرير'!E75,"")</f>
        <v/>
      </c>
      <c r="AI49" s="728" t="str">
        <f>IF('Fill out report  تعبئة التقرير'!I75 &gt; 0,'Fill out report  تعبئة التقرير'!I75,"")</f>
        <v/>
      </c>
      <c r="AJ49" s="728" t="str">
        <f>IF('Fill out report  تعبئة التقرير'!J75 &gt; 0,'Fill out report  تعبئة التقرير'!J75,"")</f>
        <v/>
      </c>
      <c r="AK49" s="729">
        <f>IF('Fill out report  تعبئة التقرير'!K75 &gt;=0,'Fill out report  تعبئة التقرير'!K75,"")</f>
        <v>0</v>
      </c>
      <c r="AL49" s="728" t="str">
        <f>IF('Fill out report  تعبئة التقرير'!L75 &gt;=" ",'Fill out report  تعبئة التقرير'!L75,"")</f>
        <v/>
      </c>
      <c r="AM49" s="430" t="str">
        <f>IF('Fill out report  تعبئة التقرير'!O75 &gt; 0,'Fill out report  تعبئة التقرير'!O75,"")</f>
        <v/>
      </c>
      <c r="AN49" s="728" t="str">
        <f>IF('Fill out report  تعبئة التقرير'!Q75 &gt;=" ",'Fill out report  تعبئة التقرير'!Q75,"")</f>
        <v/>
      </c>
      <c r="AO49" s="431" t="str">
        <f>IF('Fill out report  تعبئة التقرير'!R106 &gt; 0,'Fill out report  تعبئة التقرير'!R106,"")</f>
        <v/>
      </c>
      <c r="AP49" s="449"/>
      <c r="AQ49" s="450"/>
    </row>
    <row r="50" spans="1:43" ht="11.85" customHeight="1" thickBot="1">
      <c r="A50" s="451"/>
      <c r="B50" s="452"/>
      <c r="C50" s="452"/>
      <c r="D50" s="452"/>
      <c r="E50" s="452"/>
      <c r="F50" s="452"/>
      <c r="G50" s="452"/>
      <c r="H50" s="452"/>
      <c r="I50" s="452"/>
      <c r="J50" s="452"/>
      <c r="K50" s="452"/>
      <c r="L50" s="452"/>
      <c r="M50" s="452"/>
      <c r="N50" s="452"/>
      <c r="O50" s="452"/>
      <c r="P50" s="452"/>
      <c r="Q50" s="452"/>
      <c r="R50" s="452"/>
      <c r="S50" s="452"/>
      <c r="T50" s="452"/>
      <c r="U50" s="452"/>
      <c r="V50" s="452"/>
      <c r="W50" s="452"/>
      <c r="X50" s="452"/>
      <c r="Y50" s="452"/>
      <c r="Z50" s="452"/>
      <c r="AA50" s="452"/>
      <c r="AB50" s="452"/>
      <c r="AC50" s="452"/>
      <c r="AD50" s="452"/>
      <c r="AE50" s="452"/>
      <c r="AF50" s="452"/>
      <c r="AG50" s="452"/>
      <c r="AH50" s="454" t="str">
        <f>IF('Fill out report  تعبئة التقرير'!E76 &gt;=" ",'Fill out report  تعبئة التقرير'!E76,"")</f>
        <v/>
      </c>
      <c r="AI50" s="730" t="str">
        <f>IF('Fill out report  تعبئة التقرير'!I76 &gt; 0,'Fill out report  تعبئة التقرير'!I76,"")</f>
        <v/>
      </c>
      <c r="AJ50" s="730" t="str">
        <f>IF('Fill out report  تعبئة التقرير'!J76 &gt; 0,'Fill out report  تعبئة التقرير'!J76,"")</f>
        <v/>
      </c>
      <c r="AK50" s="731">
        <f>IF('Fill out report  تعبئة التقرير'!K76 &gt;=0,'Fill out report  تعبئة التقرير'!K76,"")</f>
        <v>0</v>
      </c>
      <c r="AL50" s="730" t="str">
        <f>IF('Fill out report  تعبئة التقرير'!L76 &gt;=" ",'Fill out report  تعبئة التقرير'!L76,"")</f>
        <v/>
      </c>
      <c r="AM50" s="453" t="str">
        <f>IF('Fill out report  تعبئة التقرير'!O76 &gt; 0,'Fill out report  تعبئة التقرير'!O76,"")</f>
        <v/>
      </c>
      <c r="AN50" s="730" t="str">
        <f>IF('Fill out report  تعبئة التقرير'!Q76 &gt;=" ",'Fill out report  تعبئة التقرير'!Q76,"")</f>
        <v/>
      </c>
      <c r="AO50" s="454" t="str">
        <f>IF('Fill out report  تعبئة التقرير'!R106 &gt; 0,'Fill out report  تعبئة التقرير'!R106,"")</f>
        <v/>
      </c>
      <c r="AP50" s="452"/>
      <c r="AQ50" s="455"/>
    </row>
  </sheetData>
  <phoneticPr fontId="14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651D-5F53-4ACC-B1B9-798016536D5E}">
  <dimension ref="A1:D2"/>
  <sheetViews>
    <sheetView workbookViewId="0">
      <selection activeCell="A2" sqref="A2:XFD2"/>
    </sheetView>
  </sheetViews>
  <sheetFormatPr defaultRowHeight="12.6"/>
  <cols>
    <col min="1" max="1" width="9.140625" bestFit="1" customWidth="1"/>
    <col min="3" max="3" width="12.42578125" bestFit="1" customWidth="1"/>
    <col min="4" max="4" width="90.140625" bestFit="1" customWidth="1"/>
  </cols>
  <sheetData>
    <row r="1" spans="1:4">
      <c r="A1" s="107" t="s">
        <v>158</v>
      </c>
      <c r="B1" s="107" t="s">
        <v>159</v>
      </c>
      <c r="C1" s="107" t="s">
        <v>160</v>
      </c>
      <c r="D1" s="107" t="s">
        <v>161</v>
      </c>
    </row>
    <row r="2" spans="1:4">
      <c r="A2" s="468"/>
      <c r="B2" s="469"/>
      <c r="C2" s="107"/>
      <c r="D2" s="10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2:H54"/>
  <sheetViews>
    <sheetView topLeftCell="A13" workbookViewId="0">
      <selection activeCell="B20" sqref="B20"/>
    </sheetView>
  </sheetViews>
  <sheetFormatPr defaultRowHeight="12.6"/>
  <cols>
    <col min="1" max="1" width="17.42578125" customWidth="1"/>
    <col min="2" max="2" width="19" customWidth="1"/>
    <col min="3" max="3" width="18" customWidth="1"/>
    <col min="4" max="4" width="15.42578125" customWidth="1"/>
    <col min="9" max="9" width="10" customWidth="1"/>
  </cols>
  <sheetData>
    <row r="2" spans="1:8" ht="26.1" customHeight="1">
      <c r="H2" s="256" t="s">
        <v>162</v>
      </c>
    </row>
    <row r="3" spans="1:8" ht="40.35" customHeight="1">
      <c r="B3" s="248" t="s">
        <v>163</v>
      </c>
      <c r="C3" s="248" t="s">
        <v>164</v>
      </c>
      <c r="H3" s="107" t="s">
        <v>165</v>
      </c>
    </row>
    <row r="4" spans="1:8" ht="27.2" customHeight="1">
      <c r="B4" s="250" t="s">
        <v>166</v>
      </c>
      <c r="C4" s="249">
        <v>5</v>
      </c>
      <c r="H4" s="107" t="s">
        <v>167</v>
      </c>
    </row>
    <row r="5" spans="1:8" ht="27.2" customHeight="1">
      <c r="B5" s="318" t="s">
        <v>168</v>
      </c>
      <c r="C5" s="249">
        <v>4</v>
      </c>
      <c r="H5" s="107" t="s">
        <v>169</v>
      </c>
    </row>
    <row r="6" spans="1:8" ht="27.2" customHeight="1">
      <c r="B6" s="250" t="s">
        <v>170</v>
      </c>
      <c r="C6" s="249">
        <v>3</v>
      </c>
      <c r="H6" s="107" t="s">
        <v>171</v>
      </c>
    </row>
    <row r="7" spans="1:8" ht="27.2" customHeight="1">
      <c r="B7" s="250" t="s">
        <v>172</v>
      </c>
      <c r="C7" s="249">
        <v>2</v>
      </c>
      <c r="H7" s="107" t="s">
        <v>173</v>
      </c>
    </row>
    <row r="8" spans="1:8" ht="27.2" customHeight="1">
      <c r="B8" s="250" t="s">
        <v>174</v>
      </c>
      <c r="C8" s="249">
        <v>1</v>
      </c>
      <c r="H8" s="107" t="s">
        <v>175</v>
      </c>
    </row>
    <row r="9" spans="1:8" ht="21.2" customHeight="1">
      <c r="B9" s="355"/>
      <c r="H9" s="107" t="s">
        <v>176</v>
      </c>
    </row>
    <row r="10" spans="1:8" ht="29.85" customHeight="1">
      <c r="A10" s="347" t="s">
        <v>177</v>
      </c>
      <c r="B10" s="347" t="s">
        <v>164</v>
      </c>
      <c r="C10" s="347" t="s">
        <v>178</v>
      </c>
      <c r="H10" s="107" t="s">
        <v>179</v>
      </c>
    </row>
    <row r="11" spans="1:8" ht="23.1" customHeight="1">
      <c r="A11" s="348" t="s">
        <v>180</v>
      </c>
      <c r="B11" s="349">
        <v>5</v>
      </c>
      <c r="C11" s="350" t="s">
        <v>181</v>
      </c>
      <c r="H11" s="107" t="s">
        <v>182</v>
      </c>
    </row>
    <row r="12" spans="1:8" ht="23.1" customHeight="1">
      <c r="A12" s="348" t="s">
        <v>183</v>
      </c>
      <c r="B12" s="349">
        <v>4</v>
      </c>
      <c r="C12" s="350" t="s">
        <v>184</v>
      </c>
      <c r="H12" s="107" t="s">
        <v>185</v>
      </c>
    </row>
    <row r="13" spans="1:8" ht="23.1" customHeight="1">
      <c r="A13" s="348" t="s">
        <v>186</v>
      </c>
      <c r="B13" s="349">
        <v>3</v>
      </c>
      <c r="C13" s="350" t="s">
        <v>187</v>
      </c>
      <c r="H13" s="107" t="s">
        <v>188</v>
      </c>
    </row>
    <row r="14" spans="1:8" ht="23.1" customHeight="1">
      <c r="A14" s="348" t="s">
        <v>189</v>
      </c>
      <c r="B14" s="349">
        <v>2</v>
      </c>
      <c r="C14" s="350" t="s">
        <v>190</v>
      </c>
      <c r="H14" s="107" t="s">
        <v>191</v>
      </c>
    </row>
    <row r="15" spans="1:8" ht="23.1" customHeight="1">
      <c r="A15" s="348" t="s">
        <v>192</v>
      </c>
      <c r="B15" s="349">
        <v>1</v>
      </c>
      <c r="C15" s="350" t="s">
        <v>193</v>
      </c>
      <c r="H15" s="107" t="s">
        <v>194</v>
      </c>
    </row>
    <row r="16" spans="1:8">
      <c r="H16" s="107" t="s">
        <v>195</v>
      </c>
    </row>
    <row r="17" spans="1:8" ht="25.7" customHeight="1">
      <c r="H17" s="107" t="s">
        <v>196</v>
      </c>
    </row>
    <row r="18" spans="1:8" ht="19.350000000000001" customHeight="1">
      <c r="B18" s="248" t="s">
        <v>197</v>
      </c>
      <c r="C18" s="248" t="s">
        <v>164</v>
      </c>
      <c r="H18" s="107" t="s">
        <v>198</v>
      </c>
    </row>
    <row r="19" spans="1:8" ht="26.1" customHeight="1">
      <c r="B19" s="318" t="s">
        <v>199</v>
      </c>
      <c r="C19" s="249">
        <v>3</v>
      </c>
      <c r="H19" s="107" t="s">
        <v>200</v>
      </c>
    </row>
    <row r="20" spans="1:8" ht="19.350000000000001" customHeight="1">
      <c r="B20" s="250" t="s">
        <v>170</v>
      </c>
      <c r="C20" s="249">
        <v>2</v>
      </c>
      <c r="H20" s="107" t="s">
        <v>201</v>
      </c>
    </row>
    <row r="21" spans="1:8" ht="19.350000000000001" customHeight="1">
      <c r="B21" s="318" t="s">
        <v>172</v>
      </c>
      <c r="C21" s="249">
        <v>1</v>
      </c>
      <c r="H21" s="107" t="s">
        <v>202</v>
      </c>
    </row>
    <row r="22" spans="1:8">
      <c r="H22" s="107" t="s">
        <v>203</v>
      </c>
    </row>
    <row r="23" spans="1:8" ht="21.95" customHeight="1">
      <c r="H23" s="107" t="s">
        <v>204</v>
      </c>
    </row>
    <row r="24" spans="1:8" ht="21.95" customHeight="1">
      <c r="H24" s="107" t="s">
        <v>205</v>
      </c>
    </row>
    <row r="25" spans="1:8" ht="21.95" customHeight="1">
      <c r="A25" s="351" t="s">
        <v>103</v>
      </c>
      <c r="B25" s="352" t="s">
        <v>104</v>
      </c>
      <c r="C25" s="353" t="s">
        <v>206</v>
      </c>
      <c r="H25" s="107" t="s">
        <v>207</v>
      </c>
    </row>
    <row r="26" spans="1:8" ht="21.95" customHeight="1">
      <c r="A26">
        <f>(IF('Fill out report  تعبئة التقرير'!K104="&gt; 75%",5,
(IF('Fill out report  تعبئة التقرير'!K104="50% - 75%",4,
(IF('Fill out report  تعبئة التقرير'!K104="20% - 50%",3,
(IF('Fill out report  تعبئة التقرير'!K104="5% - 20%",2,
(IF('Fill out report  تعبئة التقرير'!K104="&lt; 5%",1,0))))))))))</f>
        <v>0</v>
      </c>
      <c r="B26" s="354">
        <f>(IF('Fill out report  تعبئة التقرير'!L104="(Very High)  عالي جداً",5,
(IF('Fill out report  تعبئة التقرير'!L104="(High)  عالي",4,
(IF('Fill out report  تعبئة التقرير'!L104="(Medium)  متوسط",3,
(IF('Fill out report  تعبئة التقرير'!L104="(Low)  منخفض",2,
(IF('Fill out report  تعبئة التقرير'!L104="(Very Low)  منخفض جداً",1,0))))))))))</f>
        <v>0</v>
      </c>
      <c r="C26">
        <f>A26*B26</f>
        <v>0</v>
      </c>
      <c r="H26" s="107" t="s">
        <v>208</v>
      </c>
    </row>
    <row r="27" spans="1:8" ht="28.5" customHeight="1">
      <c r="A27">
        <f>(IF('Fill out report  تعبئة التقرير'!K105="&gt; 75%",5,
(IF('Fill out report  تعبئة التقرير'!K105="50% - 75%",4,
(IF('Fill out report  تعبئة التقرير'!K105="20% - 50%",3,
(IF('Fill out report  تعبئة التقرير'!K105="5% - 20%",2,
(IF('Fill out report  تعبئة التقرير'!K105="&lt; 5%",1,0))))))))))</f>
        <v>0</v>
      </c>
      <c r="B27" s="354">
        <f>(IF('Fill out report  تعبئة التقرير'!L105="(Very High)  عالي جداً",5,
(IF('Fill out report  تعبئة التقرير'!L105="(High)  عالي",4,
(IF('Fill out report  تعبئة التقرير'!L105="(Medium)  متوسط",3,
(IF('Fill out report  تعبئة التقرير'!L105="(Low)  منخفض",2,
(IF('Fill out report  تعبئة التقرير'!L105="(Very Low)  منخفض جداً",1,0))))))))))</f>
        <v>0</v>
      </c>
      <c r="C27">
        <f t="shared" ref="C27:C35" si="0">A27*B27</f>
        <v>0</v>
      </c>
      <c r="H27" s="107" t="s">
        <v>209</v>
      </c>
    </row>
    <row r="28" spans="1:8" ht="21.95" customHeight="1">
      <c r="A28">
        <f>(IF('Fill out report  تعبئة التقرير'!K106="&gt; 75%",5,
(IF('Fill out report  تعبئة التقرير'!K106="50% - 75%",4,
(IF('Fill out report  تعبئة التقرير'!K106="20% - 50%",3,
(IF('Fill out report  تعبئة التقرير'!K106="5% - 20%",2,
(IF('Fill out report  تعبئة التقرير'!K106="&lt; 5%",1,0))))))))))</f>
        <v>0</v>
      </c>
      <c r="B28" s="354">
        <f>(IF('Fill out report  تعبئة التقرير'!L106="(Very High)  عالي جداً",5,
(IF('Fill out report  تعبئة التقرير'!L106="(High)  عالي",4,
(IF('Fill out report  تعبئة التقرير'!L106="(Medium)  متوسط",3,
(IF('Fill out report  تعبئة التقرير'!L106="(Low)  منخفض",2,
(IF('Fill out report  تعبئة التقرير'!L106="(Very Low)  منخفض جداً",1,0))))))))))</f>
        <v>0</v>
      </c>
      <c r="C28">
        <f t="shared" si="0"/>
        <v>0</v>
      </c>
      <c r="H28" s="107" t="s">
        <v>210</v>
      </c>
    </row>
    <row r="29" spans="1:8" ht="21.95" customHeight="1">
      <c r="A29">
        <f>(IF('Fill out report  تعبئة التقرير'!K107="&gt; 75%",5,
(IF('Fill out report  تعبئة التقرير'!K107="50% - 75%",4,
(IF('Fill out report  تعبئة التقرير'!K107="20% - 50%",3,
(IF('Fill out report  تعبئة التقرير'!K107="5% - 20%",2,
(IF('Fill out report  تعبئة التقرير'!K107="&lt; 5%",1,0))))))))))</f>
        <v>0</v>
      </c>
      <c r="B29" s="354">
        <f>(IF('Fill out report  تعبئة التقرير'!L107="(Very High)  عالي جداً",5,
(IF('Fill out report  تعبئة التقرير'!L107="(High)  عالي",4,
(IF('Fill out report  تعبئة التقرير'!L107="(Medium)  متوسط",3,
(IF('Fill out report  تعبئة التقرير'!L107="(Low)  منخفض",2,
(IF('Fill out report  تعبئة التقرير'!L107="(Very Low)  منخفض جداً",1,0))))))))))</f>
        <v>0</v>
      </c>
      <c r="C29">
        <f t="shared" si="0"/>
        <v>0</v>
      </c>
      <c r="H29" s="107" t="s">
        <v>211</v>
      </c>
    </row>
    <row r="30" spans="1:8">
      <c r="A30">
        <f>(IF('Fill out report  تعبئة التقرير'!K108="&gt; 75%",5,
(IF('Fill out report  تعبئة التقرير'!K108="50% - 75%",4,
(IF('Fill out report  تعبئة التقرير'!K108="20% - 50%",3,
(IF('Fill out report  تعبئة التقرير'!K108="5% - 20%",2,
(IF('Fill out report  تعبئة التقرير'!K108="&lt; 5%",1,0))))))))))</f>
        <v>0</v>
      </c>
      <c r="B30" s="354">
        <f>(IF('Fill out report  تعبئة التقرير'!L108="(Very High)  عالي جداً",5,
(IF('Fill out report  تعبئة التقرير'!L108="(High)  عالي",4,
(IF('Fill out report  تعبئة التقرير'!L108="(Medium)  متوسط",3,
(IF('Fill out report  تعبئة التقرير'!L108="(Low)  منخفض",2,
(IF('Fill out report  تعبئة التقرير'!L108="(Very Low)  منخفض جداً",1,0))))))))))</f>
        <v>0</v>
      </c>
      <c r="C30">
        <f t="shared" si="0"/>
        <v>0</v>
      </c>
      <c r="H30" s="107" t="s">
        <v>212</v>
      </c>
    </row>
    <row r="31" spans="1:8">
      <c r="A31">
        <f>(IF('Fill out report  تعبئة التقرير'!K109="&gt; 75%",5,
(IF('Fill out report  تعبئة التقرير'!K109="50% - 75%",4,
(IF('Fill out report  تعبئة التقرير'!K109="20% - 50%",3,
(IF('Fill out report  تعبئة التقرير'!K109="5% - 20%",2,
(IF('Fill out report  تعبئة التقرير'!K109="&lt; 5%",1,0))))))))))</f>
        <v>0</v>
      </c>
      <c r="B31" s="354">
        <f>(IF('Fill out report  تعبئة التقرير'!L109="(Very High)  عالي جداً",5,
(IF('Fill out report  تعبئة التقرير'!L109="(High)  عالي",4,
(IF('Fill out report  تعبئة التقرير'!L109="(Medium)  متوسط",3,
(IF('Fill out report  تعبئة التقرير'!L109="(Low)  منخفض",2,
(IF('Fill out report  تعبئة التقرير'!L109="(Very Low)  منخفض جداً",1,0))))))))))</f>
        <v>0</v>
      </c>
      <c r="C31">
        <f t="shared" si="0"/>
        <v>0</v>
      </c>
      <c r="H31" s="107" t="s">
        <v>213</v>
      </c>
    </row>
    <row r="32" spans="1:8">
      <c r="A32">
        <f>(IF('Fill out report  تعبئة التقرير'!K110="&gt; 75%",5,
(IF('Fill out report  تعبئة التقرير'!K110="50% - 75%",4,
(IF('Fill out report  تعبئة التقرير'!K110="20% - 50%",3,
(IF('Fill out report  تعبئة التقرير'!K110="5% - 20%",2,
(IF('Fill out report  تعبئة التقرير'!K110="&lt; 5%",1,0))))))))))</f>
        <v>0</v>
      </c>
      <c r="B32" s="354">
        <f>(IF('Fill out report  تعبئة التقرير'!L110="(Very High)  عالي جداً",5,
(IF('Fill out report  تعبئة التقرير'!L110="(High)  عالي",4,
(IF('Fill out report  تعبئة التقرير'!L110="(Medium)  متوسط",3,
(IF('Fill out report  تعبئة التقرير'!L110="(Low)  منخفض",2,
(IF('Fill out report  تعبئة التقرير'!L110="(Very Low)  منخفض جداً",1,0))))))))))</f>
        <v>0</v>
      </c>
      <c r="C32">
        <f t="shared" si="0"/>
        <v>0</v>
      </c>
      <c r="H32" s="107" t="s">
        <v>214</v>
      </c>
    </row>
    <row r="33" spans="1:8">
      <c r="A33">
        <f>(IF('Fill out report  تعبئة التقرير'!K111="&gt; 75%",5,
(IF('Fill out report  تعبئة التقرير'!K111="50% - 75%",4,
(IF('Fill out report  تعبئة التقرير'!K111="20% - 50%",3,
(IF('Fill out report  تعبئة التقرير'!K111="5% - 20%",2,
(IF('Fill out report  تعبئة التقرير'!K111="&lt; 5%",1,0))))))))))</f>
        <v>0</v>
      </c>
      <c r="B33" s="354">
        <f>(IF('Fill out report  تعبئة التقرير'!L111="(Very High)  عالي جداً",5,
(IF('Fill out report  تعبئة التقرير'!L111="(High)  عالي",4,
(IF('Fill out report  تعبئة التقرير'!L111="(Medium)  متوسط",3,
(IF('Fill out report  تعبئة التقرير'!L111="(Low)  منخفض",2,
(IF('Fill out report  تعبئة التقرير'!L111="(Very Low)  منخفض جداً",1,0))))))))))</f>
        <v>0</v>
      </c>
      <c r="C33">
        <f t="shared" si="0"/>
        <v>0</v>
      </c>
      <c r="H33" s="107" t="s">
        <v>215</v>
      </c>
    </row>
    <row r="34" spans="1:8">
      <c r="A34">
        <f>(IF('Fill out report  تعبئة التقرير'!K112="&gt; 75%",5,
(IF('Fill out report  تعبئة التقرير'!K112="50% - 75%",4,
(IF('Fill out report  تعبئة التقرير'!K112="20% - 50%",3,
(IF('Fill out report  تعبئة التقرير'!K112="5% - 20%",2,
(IF('Fill out report  تعبئة التقرير'!K112="&lt; 5%",1,0))))))))))</f>
        <v>0</v>
      </c>
      <c r="B34" s="354">
        <f>(IF('Fill out report  تعبئة التقرير'!L112="(Very High)  عالي جداً",5,
(IF('Fill out report  تعبئة التقرير'!L112="(High)  عالي",4,
(IF('Fill out report  تعبئة التقرير'!L112="(Medium)  متوسط",3,
(IF('Fill out report  تعبئة التقرير'!L112="(Low)  منخفض",2,
(IF('Fill out report  تعبئة التقرير'!L112="(Very Low)  منخفض جداً",1,0))))))))))</f>
        <v>0</v>
      </c>
      <c r="C34">
        <f t="shared" si="0"/>
        <v>0</v>
      </c>
      <c r="H34" s="107" t="s">
        <v>216</v>
      </c>
    </row>
    <row r="35" spans="1:8">
      <c r="A35">
        <f>(IF('Fill out report  تعبئة التقرير'!K113="&gt; 75%",5,
(IF('Fill out report  تعبئة التقرير'!K113="50% - 75%",4,
(IF('Fill out report  تعبئة التقرير'!K113="20% - 50%",3,
(IF('Fill out report  تعبئة التقرير'!K113="5% - 20%",2,
(IF('Fill out report  تعبئة التقرير'!K113="&lt; 5%",1,0))))))))))</f>
        <v>0</v>
      </c>
      <c r="B35" s="354">
        <f>(IF('Fill out report  تعبئة التقرير'!L113="(Very High)  عالي جداً",5,
(IF('Fill out report  تعبئة التقرير'!L113="(High)  عالي",4,
(IF('Fill out report  تعبئة التقرير'!L113="(Medium)  متوسط",3,
(IF('Fill out report  تعبئة التقرير'!L113="(Low)  منخفض",2,
(IF('Fill out report  تعبئة التقرير'!L113="(Very Low)  منخفض جداً",1,0))))))))))</f>
        <v>0</v>
      </c>
      <c r="C35">
        <f t="shared" si="0"/>
        <v>0</v>
      </c>
      <c r="H35" s="107" t="s">
        <v>217</v>
      </c>
    </row>
    <row r="36" spans="1:8">
      <c r="H36" s="107" t="s">
        <v>218</v>
      </c>
    </row>
    <row r="37" spans="1:8">
      <c r="H37" s="107" t="s">
        <v>219</v>
      </c>
    </row>
    <row r="38" spans="1:8">
      <c r="H38" s="107" t="s">
        <v>220</v>
      </c>
    </row>
    <row r="39" spans="1:8">
      <c r="H39" s="107" t="s">
        <v>221</v>
      </c>
    </row>
    <row r="40" spans="1:8">
      <c r="H40" s="107" t="s">
        <v>222</v>
      </c>
    </row>
    <row r="41" spans="1:8">
      <c r="H41" s="107" t="s">
        <v>223</v>
      </c>
    </row>
    <row r="42" spans="1:8">
      <c r="H42" s="107" t="s">
        <v>224</v>
      </c>
    </row>
    <row r="43" spans="1:8">
      <c r="H43" s="107" t="s">
        <v>225</v>
      </c>
    </row>
    <row r="44" spans="1:8">
      <c r="H44" s="107" t="s">
        <v>226</v>
      </c>
    </row>
    <row r="45" spans="1:8">
      <c r="H45" s="107" t="s">
        <v>227</v>
      </c>
    </row>
    <row r="46" spans="1:8">
      <c r="H46" s="107" t="s">
        <v>228</v>
      </c>
    </row>
    <row r="47" spans="1:8">
      <c r="H47" s="107" t="s">
        <v>229</v>
      </c>
    </row>
    <row r="48" spans="1:8">
      <c r="H48" s="107" t="s">
        <v>230</v>
      </c>
    </row>
    <row r="49" spans="8:8">
      <c r="H49" s="107" t="s">
        <v>231</v>
      </c>
    </row>
    <row r="50" spans="8:8">
      <c r="H50" s="107" t="s">
        <v>232</v>
      </c>
    </row>
    <row r="51" spans="8:8">
      <c r="H51" s="107" t="s">
        <v>233</v>
      </c>
    </row>
    <row r="52" spans="8:8">
      <c r="H52" s="107" t="s">
        <v>234</v>
      </c>
    </row>
    <row r="53" spans="8:8">
      <c r="H53" s="107" t="s">
        <v>235</v>
      </c>
    </row>
    <row r="54" spans="8:8">
      <c r="H54" s="107" t="s">
        <v>236</v>
      </c>
    </row>
  </sheetData>
  <sheetProtection algorithmName="SHA-512" hashValue="olpU54apgwzO5UzqQXJIdoD5OuTeq30ita53hN59wE9wy3dquTOPwtaLgwQv55l8uXdRmGy0sEPg1TiyGWj1Sw==" saltValue="kOTaqR2PpaKNgOhGW24HMQ==" spinCount="100000" sheet="1" objects="1" scenarios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AA98"/>
  <sheetViews>
    <sheetView showGridLines="0" topLeftCell="E40" zoomScale="115" zoomScaleNormal="115" workbookViewId="0">
      <selection activeCell="K28" sqref="K28"/>
    </sheetView>
  </sheetViews>
  <sheetFormatPr defaultColWidth="9.140625" defaultRowHeight="15"/>
  <cols>
    <col min="1" max="1" width="6.42578125" style="108" customWidth="1"/>
    <col min="2" max="2" width="1.140625" style="173" customWidth="1"/>
    <col min="3" max="3" width="0.5703125" style="117" customWidth="1"/>
    <col min="4" max="4" width="2" style="117" bestFit="1" customWidth="1"/>
    <col min="5" max="6" width="10.85546875" style="118" customWidth="1"/>
    <col min="7" max="7" width="15.85546875" style="118" customWidth="1"/>
    <col min="8" max="8" width="12.85546875" style="117" customWidth="1"/>
    <col min="9" max="9" width="16.42578125" style="117" customWidth="1"/>
    <col min="10" max="10" width="25.42578125" style="117" customWidth="1"/>
    <col min="11" max="11" width="16.42578125" style="117" customWidth="1"/>
    <col min="12" max="14" width="14.42578125" style="117" customWidth="1"/>
    <col min="15" max="15" width="14.140625" style="117" customWidth="1"/>
    <col min="16" max="16" width="17.140625" style="117" customWidth="1"/>
    <col min="17" max="17" width="33.85546875" style="117" customWidth="1"/>
    <col min="18" max="18" width="0.5703125" style="117" customWidth="1"/>
    <col min="19" max="19" width="9.140625" style="117" customWidth="1"/>
    <col min="20" max="20" width="9.140625" style="117" hidden="1" customWidth="1"/>
    <col min="21" max="21" width="13.140625" style="119" hidden="1" customWidth="1"/>
    <col min="22" max="27" width="28.42578125" style="117" hidden="1" customWidth="1"/>
    <col min="28" max="58" width="0" style="117" hidden="1" customWidth="1"/>
    <col min="59" max="60" width="9.140625" style="117"/>
    <col min="61" max="61" width="20.42578125" style="117" customWidth="1"/>
    <col min="62" max="62" width="26.5703125" style="117" customWidth="1"/>
    <col min="63" max="63" width="18" style="117" customWidth="1"/>
    <col min="64" max="64" width="23.42578125" style="117" customWidth="1"/>
    <col min="65" max="65" width="21.42578125" style="117" customWidth="1"/>
    <col min="66" max="66" width="17" style="117" bestFit="1" customWidth="1"/>
    <col min="67" max="67" width="9.5703125" style="117" bestFit="1" customWidth="1"/>
    <col min="68" max="69" width="11.140625" style="117" bestFit="1" customWidth="1"/>
    <col min="70" max="70" width="15.140625" style="117" bestFit="1" customWidth="1"/>
    <col min="71" max="71" width="11.42578125" style="117" bestFit="1" customWidth="1"/>
    <col min="72" max="72" width="9.85546875" style="117" bestFit="1" customWidth="1"/>
    <col min="73" max="73" width="10" style="117" bestFit="1" customWidth="1"/>
    <col min="74" max="74" width="9.42578125" style="117" bestFit="1" customWidth="1"/>
    <col min="75" max="81" width="28.42578125" style="117" customWidth="1"/>
    <col min="82" max="16384" width="9.140625" style="117"/>
  </cols>
  <sheetData>
    <row r="1" spans="1:21" s="108" customFormat="1">
      <c r="E1" s="109"/>
      <c r="F1" s="109"/>
      <c r="G1" s="109"/>
      <c r="U1" s="110"/>
    </row>
    <row r="2" spans="1:21" s="108" customFormat="1">
      <c r="E2" s="109"/>
      <c r="F2" s="109"/>
      <c r="G2" s="109"/>
      <c r="U2" s="110"/>
    </row>
    <row r="3" spans="1:21" s="114" customFormat="1" ht="5.25" customHeight="1">
      <c r="A3" s="108"/>
      <c r="B3" s="111"/>
      <c r="C3" s="112"/>
      <c r="D3" s="112"/>
      <c r="E3" s="113"/>
      <c r="F3" s="113"/>
      <c r="G3" s="113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U3" s="115"/>
    </row>
    <row r="4" spans="1:21" ht="7.7" customHeight="1">
      <c r="B4" s="116"/>
    </row>
    <row r="5" spans="1:21" s="121" customFormat="1" ht="11.45" customHeight="1">
      <c r="A5" s="120"/>
      <c r="B5" s="116"/>
      <c r="D5" s="122"/>
      <c r="E5" s="123"/>
      <c r="F5" s="123"/>
      <c r="G5" s="123"/>
      <c r="H5" s="124"/>
      <c r="I5" s="124"/>
      <c r="J5" s="124"/>
      <c r="K5" s="124"/>
      <c r="L5" s="124"/>
      <c r="M5" s="124"/>
      <c r="N5" s="124"/>
      <c r="O5" s="125"/>
      <c r="P5" s="125"/>
      <c r="Q5" s="126"/>
      <c r="U5" s="127"/>
    </row>
    <row r="6" spans="1:21" s="121" customFormat="1" ht="11.45" customHeight="1">
      <c r="A6" s="120"/>
      <c r="B6" s="116"/>
      <c r="D6" s="128"/>
      <c r="E6" s="721" t="s">
        <v>16</v>
      </c>
      <c r="F6" s="721"/>
      <c r="G6" s="721"/>
      <c r="H6" s="721"/>
      <c r="I6" s="721"/>
      <c r="J6" s="721"/>
      <c r="K6" s="721"/>
      <c r="L6" s="129"/>
      <c r="M6" s="129"/>
      <c r="N6" s="129"/>
      <c r="O6" s="130"/>
      <c r="P6" s="130"/>
      <c r="Q6" s="131"/>
      <c r="U6" s="127"/>
    </row>
    <row r="7" spans="1:21" s="121" customFormat="1" ht="11.45" customHeight="1">
      <c r="A7" s="120"/>
      <c r="B7" s="116"/>
      <c r="D7" s="128"/>
      <c r="E7" s="721"/>
      <c r="F7" s="721"/>
      <c r="G7" s="721"/>
      <c r="H7" s="721"/>
      <c r="I7" s="721"/>
      <c r="J7" s="721"/>
      <c r="K7" s="721"/>
      <c r="L7" s="129"/>
      <c r="M7" s="129"/>
      <c r="N7" s="129"/>
      <c r="O7" s="130"/>
      <c r="P7" s="130"/>
      <c r="Q7" s="131"/>
      <c r="U7" s="127"/>
    </row>
    <row r="8" spans="1:21" s="121" customFormat="1" ht="5.25" customHeight="1">
      <c r="A8" s="120"/>
      <c r="B8" s="116"/>
      <c r="D8" s="128"/>
      <c r="E8" s="721"/>
      <c r="F8" s="721"/>
      <c r="G8" s="721"/>
      <c r="H8" s="721"/>
      <c r="I8" s="721"/>
      <c r="J8" s="721"/>
      <c r="K8" s="721"/>
      <c r="L8" s="129"/>
      <c r="M8" s="129"/>
      <c r="N8" s="129"/>
      <c r="O8" s="130"/>
      <c r="P8" s="130"/>
      <c r="Q8" s="131"/>
      <c r="U8" s="127"/>
    </row>
    <row r="9" spans="1:21" s="121" customFormat="1" ht="9.9499999999999993" customHeight="1" thickBot="1">
      <c r="A9" s="132"/>
      <c r="B9" s="116"/>
      <c r="D9" s="128"/>
      <c r="E9" s="133"/>
      <c r="F9" s="133"/>
      <c r="G9" s="133"/>
      <c r="H9" s="134"/>
      <c r="I9" s="134"/>
      <c r="J9" s="134"/>
      <c r="K9" s="134"/>
      <c r="L9" s="134"/>
      <c r="M9" s="134"/>
      <c r="N9" s="134"/>
      <c r="O9" s="135"/>
      <c r="P9" s="135"/>
      <c r="Q9" s="261"/>
      <c r="U9" s="127"/>
    </row>
    <row r="10" spans="1:21" s="121" customFormat="1" ht="27.6" thickTop="1">
      <c r="A10" s="132"/>
      <c r="B10" s="116"/>
      <c r="D10" s="128"/>
      <c r="E10" s="136"/>
      <c r="F10" s="136"/>
      <c r="G10" s="136"/>
      <c r="H10" s="137"/>
      <c r="I10" s="138" t="s">
        <v>237</v>
      </c>
      <c r="J10" s="138"/>
      <c r="K10" s="137"/>
      <c r="L10" s="259"/>
      <c r="M10" s="259"/>
      <c r="N10" s="259"/>
      <c r="O10" s="258" t="s">
        <v>238</v>
      </c>
      <c r="P10" s="258"/>
      <c r="Q10" s="260"/>
      <c r="U10" s="127"/>
    </row>
    <row r="11" spans="1:21" s="121" customFormat="1" ht="15.6" customHeight="1">
      <c r="A11" s="132"/>
      <c r="B11" s="116"/>
      <c r="D11" s="128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40"/>
      <c r="P11" s="140"/>
      <c r="Q11" s="131"/>
      <c r="U11" s="127"/>
    </row>
    <row r="12" spans="1:21" s="121" customFormat="1" ht="15.6" customHeight="1">
      <c r="A12" s="132"/>
      <c r="B12" s="116"/>
      <c r="D12" s="128"/>
      <c r="E12" s="175"/>
      <c r="F12" s="175"/>
      <c r="G12" s="183"/>
      <c r="H12" s="184"/>
      <c r="I12" s="184"/>
      <c r="J12" s="184"/>
      <c r="K12" s="184"/>
      <c r="L12" s="184"/>
      <c r="M12" s="184"/>
      <c r="N12" s="184"/>
      <c r="O12" s="140"/>
      <c r="P12" s="140"/>
      <c r="Q12" s="131"/>
      <c r="U12" s="127"/>
    </row>
    <row r="13" spans="1:21" s="121" customFormat="1" ht="23.25" customHeight="1">
      <c r="A13" s="132"/>
      <c r="B13" s="116"/>
      <c r="D13" s="128"/>
      <c r="E13" s="722" t="s">
        <v>239</v>
      </c>
      <c r="F13" s="723"/>
      <c r="G13" s="185" t="s">
        <v>240</v>
      </c>
      <c r="H13" s="186"/>
      <c r="I13" s="186"/>
      <c r="J13" s="186"/>
      <c r="K13" s="186"/>
      <c r="L13" s="186" t="s">
        <v>241</v>
      </c>
      <c r="M13" s="186"/>
      <c r="N13" s="186"/>
      <c r="O13" s="139"/>
      <c r="P13" s="140"/>
      <c r="Q13" s="131"/>
      <c r="U13" s="127"/>
    </row>
    <row r="14" spans="1:21" s="121" customFormat="1" ht="23.25" customHeight="1">
      <c r="A14" s="132"/>
      <c r="B14" s="116"/>
      <c r="D14" s="128"/>
      <c r="E14" s="175"/>
      <c r="F14" s="175"/>
      <c r="G14" s="185" t="s">
        <v>242</v>
      </c>
      <c r="H14" s="187"/>
      <c r="I14" s="187"/>
      <c r="J14" s="187"/>
      <c r="K14" s="187"/>
      <c r="L14" s="187"/>
      <c r="M14" s="187"/>
      <c r="N14" s="187"/>
      <c r="O14" s="139"/>
      <c r="P14" s="140"/>
      <c r="Q14" s="131"/>
      <c r="U14" s="127"/>
    </row>
    <row r="15" spans="1:21" s="121" customFormat="1" ht="23.25" customHeight="1">
      <c r="A15" s="132"/>
      <c r="B15" s="116"/>
      <c r="D15" s="128"/>
      <c r="E15" s="175"/>
      <c r="F15" s="175"/>
      <c r="G15" s="185"/>
      <c r="H15" s="185" t="s">
        <v>243</v>
      </c>
      <c r="I15" s="186"/>
      <c r="J15" s="186"/>
      <c r="K15" s="186"/>
      <c r="L15" s="186"/>
      <c r="M15" s="186"/>
      <c r="N15" s="186"/>
      <c r="O15" s="139"/>
      <c r="P15" s="143"/>
      <c r="Q15" s="131"/>
      <c r="U15" s="127"/>
    </row>
    <row r="16" spans="1:21" s="121" customFormat="1" ht="23.25" customHeight="1">
      <c r="A16" s="132"/>
      <c r="B16" s="116"/>
      <c r="D16" s="128"/>
      <c r="E16" s="175"/>
      <c r="F16" s="175"/>
      <c r="G16" s="185"/>
      <c r="H16" s="185" t="s">
        <v>244</v>
      </c>
      <c r="I16" s="186"/>
      <c r="J16" s="186"/>
      <c r="K16" s="186"/>
      <c r="L16" s="186"/>
      <c r="M16" s="186"/>
      <c r="N16" s="186"/>
      <c r="O16" s="139"/>
      <c r="P16" s="143"/>
      <c r="Q16" s="131"/>
      <c r="U16" s="127"/>
    </row>
    <row r="17" spans="1:21" s="121" customFormat="1" ht="23.25" customHeight="1">
      <c r="A17" s="132"/>
      <c r="B17" s="116"/>
      <c r="D17" s="128"/>
      <c r="E17" s="175"/>
      <c r="F17" s="175"/>
      <c r="G17" s="185"/>
      <c r="H17" s="185" t="s">
        <v>245</v>
      </c>
      <c r="I17" s="186"/>
      <c r="J17" s="186"/>
      <c r="K17" s="186"/>
      <c r="L17" s="186"/>
      <c r="M17" s="186"/>
      <c r="N17" s="186"/>
      <c r="O17" s="139"/>
      <c r="P17" s="143"/>
      <c r="Q17" s="131"/>
      <c r="U17" s="127"/>
    </row>
    <row r="18" spans="1:21" s="121" customFormat="1" ht="23.25" customHeight="1">
      <c r="A18" s="132"/>
      <c r="B18" s="116"/>
      <c r="D18" s="128"/>
      <c r="E18" s="175"/>
      <c r="F18" s="175"/>
      <c r="G18" s="185"/>
      <c r="H18" s="185" t="s">
        <v>246</v>
      </c>
      <c r="I18" s="186"/>
      <c r="J18" s="186"/>
      <c r="K18" s="186"/>
      <c r="L18" s="186"/>
      <c r="M18" s="186"/>
      <c r="N18" s="186"/>
      <c r="O18" s="139"/>
      <c r="P18" s="143"/>
      <c r="Q18" s="131"/>
      <c r="U18" s="127"/>
    </row>
    <row r="19" spans="1:21" s="121" customFormat="1" ht="15.6" customHeight="1">
      <c r="A19" s="132"/>
      <c r="B19" s="116"/>
      <c r="D19" s="128"/>
      <c r="E19" s="175"/>
      <c r="F19" s="175"/>
      <c r="G19" s="182"/>
      <c r="H19" s="175"/>
      <c r="I19" s="175"/>
      <c r="J19" s="175"/>
      <c r="K19" s="175"/>
      <c r="L19" s="175"/>
      <c r="M19" s="175"/>
      <c r="N19" s="175"/>
      <c r="O19" s="133"/>
      <c r="P19" s="143"/>
      <c r="Q19" s="131"/>
      <c r="U19" s="127"/>
    </row>
    <row r="20" spans="1:21" s="121" customFormat="1" ht="20.45" customHeight="1">
      <c r="A20" s="132"/>
      <c r="B20" s="116"/>
      <c r="D20" s="128"/>
      <c r="E20" s="724" t="s">
        <v>247</v>
      </c>
      <c r="F20" s="725"/>
      <c r="G20" s="185" t="s">
        <v>248</v>
      </c>
      <c r="H20" s="185"/>
      <c r="I20" s="185"/>
      <c r="J20" s="185"/>
      <c r="K20" s="185"/>
      <c r="L20" s="185"/>
      <c r="M20" s="185"/>
      <c r="N20" s="185"/>
      <c r="O20" s="141"/>
      <c r="P20" s="140"/>
      <c r="Q20" s="131"/>
      <c r="U20" s="127"/>
    </row>
    <row r="21" spans="1:21" s="121" customFormat="1" ht="20.45" customHeight="1">
      <c r="A21" s="132"/>
      <c r="B21" s="116"/>
      <c r="D21" s="128"/>
      <c r="E21" s="175"/>
      <c r="F21" s="175"/>
      <c r="G21" s="185" t="s">
        <v>249</v>
      </c>
      <c r="H21" s="187"/>
      <c r="I21" s="187"/>
      <c r="J21" s="187"/>
      <c r="K21" s="187"/>
      <c r="L21" s="187"/>
      <c r="M21" s="187"/>
      <c r="N21" s="187"/>
      <c r="O21" s="142"/>
      <c r="P21" s="140"/>
      <c r="Q21" s="131"/>
      <c r="U21" s="127"/>
    </row>
    <row r="22" spans="1:21" s="121" customFormat="1" ht="20.45" customHeight="1">
      <c r="A22" s="132"/>
      <c r="B22" s="116"/>
      <c r="D22" s="128"/>
      <c r="E22" s="175"/>
      <c r="F22" s="175"/>
      <c r="G22" s="185" t="s">
        <v>250</v>
      </c>
      <c r="H22" s="185"/>
      <c r="I22" s="185"/>
      <c r="J22" s="185"/>
      <c r="K22" s="185"/>
      <c r="L22" s="185"/>
      <c r="M22" s="185"/>
      <c r="N22" s="185"/>
      <c r="O22" s="141"/>
      <c r="P22" s="143"/>
      <c r="Q22" s="131"/>
      <c r="U22" s="127"/>
    </row>
    <row r="23" spans="1:21" s="121" customFormat="1" ht="15.6" customHeight="1">
      <c r="A23" s="132"/>
      <c r="B23" s="116"/>
      <c r="D23" s="128"/>
      <c r="E23" s="174"/>
      <c r="F23" s="174"/>
      <c r="G23" s="175"/>
      <c r="H23" s="175"/>
      <c r="I23" s="175"/>
      <c r="J23" s="175"/>
      <c r="K23" s="175"/>
      <c r="L23" s="175"/>
      <c r="M23" s="175"/>
      <c r="N23" s="175"/>
      <c r="O23" s="140"/>
      <c r="P23" s="140"/>
      <c r="Q23" s="131"/>
      <c r="U23" s="127"/>
    </row>
    <row r="24" spans="1:21" s="121" customFormat="1" ht="18.95" customHeight="1">
      <c r="A24" s="132"/>
      <c r="B24" s="116"/>
      <c r="D24" s="128"/>
      <c r="E24" s="724" t="s">
        <v>251</v>
      </c>
      <c r="F24" s="725"/>
      <c r="G24" s="185" t="s">
        <v>252</v>
      </c>
      <c r="H24" s="186"/>
      <c r="I24" s="186"/>
      <c r="J24" s="186"/>
      <c r="K24" s="186"/>
      <c r="L24" s="186"/>
      <c r="M24" s="186"/>
      <c r="N24" s="186"/>
      <c r="O24" s="139"/>
      <c r="P24" s="143"/>
      <c r="Q24" s="131"/>
      <c r="U24" s="127"/>
    </row>
    <row r="25" spans="1:21" s="121" customFormat="1" ht="15.6" customHeight="1">
      <c r="A25" s="132"/>
      <c r="B25" s="116"/>
      <c r="D25" s="128"/>
      <c r="E25" s="175"/>
      <c r="F25" s="175"/>
      <c r="G25" s="133"/>
      <c r="H25" s="144"/>
      <c r="I25" s="144"/>
      <c r="J25" s="133"/>
      <c r="K25" s="133"/>
      <c r="L25" s="133"/>
      <c r="M25" s="133"/>
      <c r="N25" s="133"/>
      <c r="O25" s="133"/>
      <c r="P25" s="143"/>
      <c r="Q25" s="131"/>
      <c r="U25" s="127"/>
    </row>
    <row r="26" spans="1:21" s="121" customFormat="1" ht="18.95" customHeight="1">
      <c r="A26" s="132"/>
      <c r="B26" s="116"/>
      <c r="D26" s="128"/>
      <c r="E26" s="175"/>
      <c r="F26" s="175"/>
      <c r="G26" s="715" t="s">
        <v>253</v>
      </c>
      <c r="H26" s="716"/>
      <c r="I26" s="145"/>
      <c r="J26" s="145"/>
      <c r="K26" s="145"/>
      <c r="L26" s="143"/>
      <c r="M26" s="143"/>
      <c r="N26" s="143"/>
      <c r="O26" s="143"/>
      <c r="P26" s="143"/>
      <c r="Q26" s="131"/>
      <c r="U26" s="127"/>
    </row>
    <row r="27" spans="1:21" s="121" customFormat="1" ht="18.95" customHeight="1">
      <c r="A27" s="132"/>
      <c r="B27" s="116"/>
      <c r="D27" s="128"/>
      <c r="E27" s="175"/>
      <c r="F27" s="175"/>
      <c r="G27" s="133"/>
      <c r="H27" s="133"/>
      <c r="I27" s="146">
        <v>1</v>
      </c>
      <c r="J27" s="358" t="s">
        <v>254</v>
      </c>
      <c r="K27" s="262" t="s">
        <v>255</v>
      </c>
      <c r="L27" s="143"/>
      <c r="M27" s="143"/>
      <c r="N27" s="143"/>
      <c r="O27" s="143"/>
      <c r="P27" s="143"/>
      <c r="Q27" s="131"/>
      <c r="U27" s="127"/>
    </row>
    <row r="28" spans="1:21" s="121" customFormat="1" ht="18.95" customHeight="1">
      <c r="A28" s="132"/>
      <c r="B28" s="116"/>
      <c r="D28" s="128"/>
      <c r="E28" s="175"/>
      <c r="F28" s="175"/>
      <c r="G28" s="133"/>
      <c r="H28" s="133"/>
      <c r="I28" s="148">
        <v>2</v>
      </c>
      <c r="J28" s="359" t="s">
        <v>256</v>
      </c>
      <c r="K28" s="262" t="s">
        <v>257</v>
      </c>
      <c r="L28" s="143"/>
      <c r="M28" s="143"/>
      <c r="N28" s="143"/>
      <c r="O28" s="143"/>
      <c r="P28" s="143"/>
      <c r="Q28" s="131"/>
      <c r="U28" s="127"/>
    </row>
    <row r="29" spans="1:21" s="121" customFormat="1" ht="18.95" customHeight="1">
      <c r="A29" s="132"/>
      <c r="B29" s="116"/>
      <c r="D29" s="128"/>
      <c r="E29" s="175"/>
      <c r="F29" s="175"/>
      <c r="G29" s="133"/>
      <c r="H29" s="133"/>
      <c r="I29" s="150">
        <v>3</v>
      </c>
      <c r="J29" s="360" t="s">
        <v>258</v>
      </c>
      <c r="K29" s="145"/>
      <c r="L29" s="143"/>
      <c r="M29" s="143"/>
      <c r="N29" s="143"/>
      <c r="O29" s="143"/>
      <c r="P29" s="143"/>
      <c r="Q29" s="131"/>
      <c r="U29" s="127"/>
    </row>
    <row r="30" spans="1:21" s="121" customFormat="1" ht="15.6" customHeight="1">
      <c r="A30" s="132"/>
      <c r="B30" s="116"/>
      <c r="D30" s="128"/>
      <c r="E30" s="175"/>
      <c r="F30" s="175"/>
      <c r="G30" s="133"/>
      <c r="H30" s="144"/>
      <c r="I30" s="144"/>
      <c r="J30" s="133"/>
      <c r="K30" s="133"/>
      <c r="L30" s="133"/>
      <c r="M30" s="133"/>
      <c r="N30" s="133"/>
      <c r="O30" s="133"/>
      <c r="P30" s="143"/>
      <c r="Q30" s="131"/>
      <c r="U30" s="127"/>
    </row>
    <row r="31" spans="1:21" s="121" customFormat="1" ht="15.75" customHeight="1">
      <c r="A31" s="132"/>
      <c r="B31" s="116"/>
      <c r="D31" s="128"/>
      <c r="E31" s="175"/>
      <c r="F31" s="175"/>
      <c r="G31" s="133"/>
      <c r="H31" s="144"/>
      <c r="I31" s="144"/>
      <c r="J31" s="133"/>
      <c r="K31" s="133"/>
      <c r="L31" s="133"/>
      <c r="M31" s="133"/>
      <c r="N31" s="133"/>
      <c r="O31" s="133"/>
      <c r="P31" s="143"/>
      <c r="Q31" s="131"/>
      <c r="U31" s="127"/>
    </row>
    <row r="32" spans="1:21" s="121" customFormat="1" ht="15.75" customHeight="1">
      <c r="A32" s="132"/>
      <c r="B32" s="116"/>
      <c r="D32" s="128"/>
      <c r="E32" s="175"/>
      <c r="F32" s="175"/>
      <c r="G32" s="133"/>
      <c r="H32" s="144"/>
      <c r="I32" s="144"/>
      <c r="J32" s="133"/>
      <c r="K32" s="133"/>
      <c r="L32" s="133"/>
      <c r="M32" s="133"/>
      <c r="N32" s="133"/>
      <c r="O32" s="133"/>
      <c r="P32" s="143"/>
      <c r="Q32" s="131"/>
      <c r="U32" s="127"/>
    </row>
    <row r="33" spans="1:21" s="121" customFormat="1" ht="18.95" customHeight="1">
      <c r="A33" s="132"/>
      <c r="B33" s="116"/>
      <c r="D33" s="128"/>
      <c r="E33" s="175"/>
      <c r="F33" s="175"/>
      <c r="G33" s="715" t="s">
        <v>259</v>
      </c>
      <c r="H33" s="716"/>
      <c r="I33" s="145"/>
      <c r="J33" s="145"/>
      <c r="K33" s="145"/>
      <c r="L33" s="143"/>
      <c r="M33" s="143"/>
      <c r="N33" s="143"/>
      <c r="O33" s="143"/>
      <c r="P33" s="143"/>
      <c r="Q33" s="131"/>
      <c r="U33" s="127"/>
    </row>
    <row r="34" spans="1:21" s="121" customFormat="1" ht="18.95" customHeight="1">
      <c r="A34" s="132"/>
      <c r="B34" s="116"/>
      <c r="D34" s="128"/>
      <c r="E34" s="175"/>
      <c r="F34" s="175"/>
      <c r="G34" s="133"/>
      <c r="H34" s="133"/>
      <c r="I34" s="255">
        <v>1</v>
      </c>
      <c r="J34" s="254" t="s">
        <v>172</v>
      </c>
      <c r="K34" s="145"/>
      <c r="L34" s="356"/>
      <c r="M34" s="143"/>
      <c r="N34" s="143"/>
      <c r="O34" s="143"/>
      <c r="P34" s="143"/>
      <c r="Q34" s="131"/>
      <c r="U34" s="127"/>
    </row>
    <row r="35" spans="1:21" s="121" customFormat="1" ht="18.95" customHeight="1">
      <c r="A35" s="132"/>
      <c r="B35" s="116"/>
      <c r="D35" s="128"/>
      <c r="E35" s="175"/>
      <c r="F35" s="175"/>
      <c r="G35" s="133"/>
      <c r="H35" s="133"/>
      <c r="I35" s="151">
        <v>7</v>
      </c>
      <c r="J35" s="149" t="s">
        <v>170</v>
      </c>
      <c r="K35" s="145"/>
      <c r="L35" s="357"/>
      <c r="M35" s="143"/>
      <c r="N35" s="143"/>
      <c r="O35" s="143"/>
      <c r="P35" s="143"/>
      <c r="Q35" s="131"/>
      <c r="U35" s="127"/>
    </row>
    <row r="36" spans="1:21" s="121" customFormat="1" ht="18.95" customHeight="1">
      <c r="A36" s="132"/>
      <c r="B36" s="116"/>
      <c r="D36" s="128"/>
      <c r="E36" s="175"/>
      <c r="F36" s="175"/>
      <c r="G36" s="133"/>
      <c r="H36" s="133"/>
      <c r="I36" s="152">
        <v>14</v>
      </c>
      <c r="J36" s="147" t="s">
        <v>168</v>
      </c>
      <c r="K36" s="145"/>
      <c r="L36" s="356"/>
      <c r="M36" s="143"/>
      <c r="N36" s="143"/>
      <c r="O36" s="143"/>
      <c r="P36" s="143"/>
      <c r="Q36" s="131"/>
      <c r="U36" s="127"/>
    </row>
    <row r="37" spans="1:21" s="121" customFormat="1" ht="14.25" customHeight="1">
      <c r="A37" s="132"/>
      <c r="B37" s="116"/>
      <c r="D37" s="128"/>
      <c r="E37" s="175"/>
      <c r="F37" s="175"/>
      <c r="G37" s="133"/>
      <c r="H37" s="144"/>
      <c r="I37" s="144"/>
      <c r="J37" s="133"/>
      <c r="K37" s="145"/>
      <c r="L37" s="133"/>
      <c r="M37" s="133"/>
      <c r="N37" s="133"/>
      <c r="O37" s="133"/>
      <c r="P37" s="143"/>
      <c r="Q37" s="131"/>
      <c r="U37" s="127"/>
    </row>
    <row r="38" spans="1:21" s="121" customFormat="1" ht="18.95" customHeight="1">
      <c r="A38" s="132"/>
      <c r="B38" s="116"/>
      <c r="D38" s="128"/>
      <c r="E38" s="175"/>
      <c r="F38" s="175"/>
      <c r="G38" s="715" t="s">
        <v>260</v>
      </c>
      <c r="H38" s="716"/>
      <c r="I38" s="145"/>
      <c r="J38" s="145"/>
      <c r="K38" s="145"/>
      <c r="L38" s="143"/>
      <c r="M38" s="143"/>
      <c r="N38" s="143"/>
      <c r="O38" s="143"/>
      <c r="P38" s="143"/>
      <c r="Q38" s="131"/>
      <c r="U38" s="127"/>
    </row>
    <row r="39" spans="1:21" s="121" customFormat="1" ht="18.95" customHeight="1">
      <c r="A39" s="132"/>
      <c r="B39" s="116"/>
      <c r="D39" s="128"/>
      <c r="E39" s="175"/>
      <c r="F39" s="175"/>
      <c r="G39" s="133"/>
      <c r="H39" s="133"/>
      <c r="I39" s="153" t="s">
        <v>164</v>
      </c>
      <c r="J39" s="153" t="s">
        <v>261</v>
      </c>
      <c r="K39" s="153" t="s">
        <v>262</v>
      </c>
      <c r="L39" s="130"/>
      <c r="M39" s="130"/>
      <c r="N39" s="130"/>
      <c r="O39" s="130"/>
      <c r="P39" s="143"/>
      <c r="Q39" s="131"/>
      <c r="U39" s="127"/>
    </row>
    <row r="40" spans="1:21" s="121" customFormat="1" ht="18.95" customHeight="1">
      <c r="A40" s="132"/>
      <c r="B40" s="116"/>
      <c r="D40" s="128"/>
      <c r="E40" s="176"/>
      <c r="F40" s="176"/>
      <c r="G40" s="130"/>
      <c r="H40" s="133"/>
      <c r="I40" s="154">
        <v>5</v>
      </c>
      <c r="J40" s="155" t="s">
        <v>263</v>
      </c>
      <c r="K40" s="251" t="s">
        <v>180</v>
      </c>
      <c r="L40" s="130"/>
      <c r="M40" s="130"/>
      <c r="N40" s="130"/>
      <c r="O40" s="130"/>
      <c r="P40" s="143"/>
      <c r="Q40" s="131"/>
      <c r="U40" s="127"/>
    </row>
    <row r="41" spans="1:21" s="121" customFormat="1" ht="18.95" customHeight="1">
      <c r="A41" s="132"/>
      <c r="B41" s="116"/>
      <c r="D41" s="128"/>
      <c r="E41" s="176"/>
      <c r="F41" s="176"/>
      <c r="G41" s="130"/>
      <c r="H41" s="133"/>
      <c r="I41" s="154">
        <v>4</v>
      </c>
      <c r="J41" s="155" t="s">
        <v>264</v>
      </c>
      <c r="K41" s="263">
        <v>0.75</v>
      </c>
      <c r="L41" s="130"/>
      <c r="M41" s="130"/>
      <c r="N41" s="130"/>
      <c r="O41" s="130"/>
      <c r="P41" s="143"/>
      <c r="Q41" s="131"/>
      <c r="U41" s="127"/>
    </row>
    <row r="42" spans="1:21" s="121" customFormat="1" ht="18.95" customHeight="1">
      <c r="A42" s="132"/>
      <c r="B42" s="116"/>
      <c r="D42" s="128"/>
      <c r="E42" s="176"/>
      <c r="F42" s="176"/>
      <c r="G42" s="130"/>
      <c r="H42" s="133"/>
      <c r="I42" s="154">
        <v>3</v>
      </c>
      <c r="J42" s="155" t="s">
        <v>265</v>
      </c>
      <c r="K42" s="251" t="s">
        <v>186</v>
      </c>
      <c r="L42" s="130"/>
      <c r="M42" s="130"/>
      <c r="N42" s="130"/>
      <c r="O42" s="130"/>
      <c r="P42" s="143"/>
      <c r="Q42" s="131"/>
      <c r="U42" s="127"/>
    </row>
    <row r="43" spans="1:21" s="121" customFormat="1" ht="18.95" customHeight="1">
      <c r="A43" s="132"/>
      <c r="B43" s="116"/>
      <c r="D43" s="128"/>
      <c r="E43" s="176"/>
      <c r="F43" s="176"/>
      <c r="G43" s="130"/>
      <c r="H43" s="133"/>
      <c r="I43" s="154">
        <v>2</v>
      </c>
      <c r="J43" s="155" t="s">
        <v>266</v>
      </c>
      <c r="K43" s="251" t="s">
        <v>189</v>
      </c>
      <c r="L43" s="130"/>
      <c r="M43" s="130"/>
      <c r="N43" s="130"/>
      <c r="O43" s="130"/>
      <c r="P43" s="143"/>
      <c r="Q43" s="131"/>
      <c r="U43" s="127"/>
    </row>
    <row r="44" spans="1:21" s="121" customFormat="1" ht="18.95" customHeight="1">
      <c r="A44" s="132"/>
      <c r="B44" s="116"/>
      <c r="D44" s="128"/>
      <c r="E44" s="176"/>
      <c r="F44" s="176"/>
      <c r="G44" s="130"/>
      <c r="H44" s="133"/>
      <c r="I44" s="154">
        <v>1</v>
      </c>
      <c r="J44" s="155" t="s">
        <v>267</v>
      </c>
      <c r="K44" s="251" t="s">
        <v>192</v>
      </c>
      <c r="L44" s="130"/>
      <c r="M44" s="130"/>
      <c r="N44" s="130"/>
      <c r="O44" s="130"/>
      <c r="P44" s="143"/>
      <c r="Q44" s="131"/>
      <c r="U44" s="127"/>
    </row>
    <row r="45" spans="1:21" s="121" customFormat="1" ht="15.6" customHeight="1">
      <c r="A45" s="132"/>
      <c r="B45" s="116"/>
      <c r="D45" s="128"/>
      <c r="E45" s="175"/>
      <c r="F45" s="175"/>
      <c r="G45" s="133"/>
      <c r="H45" s="144"/>
      <c r="I45" s="144"/>
      <c r="J45" s="133"/>
      <c r="K45" s="133"/>
      <c r="L45" s="133"/>
      <c r="M45" s="133"/>
      <c r="N45" s="133"/>
      <c r="O45" s="133"/>
      <c r="P45" s="143"/>
      <c r="Q45" s="131"/>
      <c r="U45" s="127"/>
    </row>
    <row r="46" spans="1:21" s="121" customFormat="1" ht="19.5" customHeight="1">
      <c r="A46" s="132"/>
      <c r="B46" s="116"/>
      <c r="D46" s="128"/>
      <c r="E46" s="175"/>
      <c r="F46" s="175"/>
      <c r="G46" s="715" t="s">
        <v>268</v>
      </c>
      <c r="H46" s="716"/>
      <c r="I46" s="145"/>
      <c r="J46" s="145"/>
      <c r="K46" s="145"/>
      <c r="L46" s="143"/>
      <c r="M46" s="143"/>
      <c r="N46" s="143"/>
      <c r="O46" s="143"/>
      <c r="P46" s="143"/>
      <c r="Q46" s="131"/>
      <c r="U46" s="127"/>
    </row>
    <row r="47" spans="1:21" s="121" customFormat="1" ht="19.5" customHeight="1">
      <c r="A47" s="132"/>
      <c r="B47" s="116"/>
      <c r="D47" s="128"/>
      <c r="E47" s="176"/>
      <c r="F47" s="176"/>
      <c r="G47" s="130"/>
      <c r="H47" s="133"/>
      <c r="I47" s="717" t="s">
        <v>269</v>
      </c>
      <c r="J47" s="717"/>
      <c r="K47" s="362" t="s">
        <v>270</v>
      </c>
      <c r="L47" s="362" t="s">
        <v>271</v>
      </c>
      <c r="M47" s="362" t="s">
        <v>272</v>
      </c>
      <c r="N47" s="362" t="s">
        <v>273</v>
      </c>
      <c r="O47" s="362" t="s">
        <v>274</v>
      </c>
      <c r="P47" s="130"/>
      <c r="Q47" s="131"/>
      <c r="U47" s="127"/>
    </row>
    <row r="48" spans="1:21" s="121" customFormat="1" ht="19.5" customHeight="1">
      <c r="A48" s="132"/>
      <c r="B48" s="116"/>
      <c r="D48" s="128"/>
      <c r="E48" s="176"/>
      <c r="F48" s="176"/>
      <c r="G48" s="130"/>
      <c r="H48" s="133"/>
      <c r="I48" s="718" t="s">
        <v>275</v>
      </c>
      <c r="J48" s="361" t="s">
        <v>276</v>
      </c>
      <c r="K48" s="252">
        <v>1</v>
      </c>
      <c r="L48" s="253">
        <v>2</v>
      </c>
      <c r="M48" s="252">
        <v>3</v>
      </c>
      <c r="N48" s="252">
        <v>4</v>
      </c>
      <c r="O48" s="156">
        <v>5</v>
      </c>
      <c r="P48" s="143"/>
      <c r="Q48" s="131"/>
      <c r="U48" s="127"/>
    </row>
    <row r="49" spans="1:21" s="121" customFormat="1" ht="19.5" customHeight="1">
      <c r="A49" s="132"/>
      <c r="B49" s="116"/>
      <c r="D49" s="128"/>
      <c r="E49" s="177"/>
      <c r="F49" s="177"/>
      <c r="G49" s="157"/>
      <c r="H49" s="133"/>
      <c r="I49" s="718"/>
      <c r="J49" s="361" t="s">
        <v>277</v>
      </c>
      <c r="K49" s="252">
        <v>2</v>
      </c>
      <c r="L49" s="253">
        <v>4</v>
      </c>
      <c r="M49" s="253">
        <v>6</v>
      </c>
      <c r="N49" s="156">
        <v>8</v>
      </c>
      <c r="O49" s="158">
        <v>10</v>
      </c>
      <c r="P49" s="143"/>
      <c r="Q49" s="131"/>
      <c r="U49" s="127"/>
    </row>
    <row r="50" spans="1:21" s="121" customFormat="1" ht="19.5" customHeight="1">
      <c r="A50" s="132"/>
      <c r="B50" s="116"/>
      <c r="D50" s="128"/>
      <c r="E50" s="177"/>
      <c r="F50" s="177"/>
      <c r="G50" s="157"/>
      <c r="H50" s="133"/>
      <c r="I50" s="718"/>
      <c r="J50" s="361" t="s">
        <v>278</v>
      </c>
      <c r="K50" s="252">
        <v>3</v>
      </c>
      <c r="L50" s="253">
        <v>6</v>
      </c>
      <c r="M50" s="156">
        <v>9</v>
      </c>
      <c r="N50" s="158">
        <v>12</v>
      </c>
      <c r="O50" s="158">
        <v>15</v>
      </c>
      <c r="P50" s="143"/>
      <c r="Q50" s="131"/>
      <c r="U50" s="127"/>
    </row>
    <row r="51" spans="1:21" s="121" customFormat="1" ht="19.5" customHeight="1">
      <c r="A51" s="132"/>
      <c r="B51" s="116"/>
      <c r="D51" s="128"/>
      <c r="E51" s="177"/>
      <c r="F51" s="177"/>
      <c r="G51" s="157"/>
      <c r="H51" s="133"/>
      <c r="I51" s="718"/>
      <c r="J51" s="361" t="s">
        <v>279</v>
      </c>
      <c r="K51" s="252">
        <v>4</v>
      </c>
      <c r="L51" s="156">
        <v>8</v>
      </c>
      <c r="M51" s="158">
        <v>12</v>
      </c>
      <c r="N51" s="158">
        <v>16</v>
      </c>
      <c r="O51" s="158">
        <v>20</v>
      </c>
      <c r="P51" s="143"/>
      <c r="Q51" s="131"/>
      <c r="U51" s="127"/>
    </row>
    <row r="52" spans="1:21" s="121" customFormat="1" ht="19.5" customHeight="1">
      <c r="A52" s="132"/>
      <c r="B52" s="116"/>
      <c r="D52" s="128"/>
      <c r="E52" s="175"/>
      <c r="F52" s="175"/>
      <c r="G52" s="133"/>
      <c r="H52" s="133"/>
      <c r="I52" s="718"/>
      <c r="J52" s="361" t="s">
        <v>280</v>
      </c>
      <c r="K52" s="156">
        <v>5</v>
      </c>
      <c r="L52" s="158">
        <v>10</v>
      </c>
      <c r="M52" s="158">
        <v>15</v>
      </c>
      <c r="N52" s="158">
        <v>20</v>
      </c>
      <c r="O52" s="158">
        <v>25</v>
      </c>
      <c r="P52" s="143"/>
      <c r="Q52" s="131"/>
      <c r="U52" s="127"/>
    </row>
    <row r="53" spans="1:21" s="121" customFormat="1" ht="15.6" customHeight="1">
      <c r="A53" s="132"/>
      <c r="B53" s="116"/>
      <c r="D53" s="128"/>
      <c r="E53" s="175"/>
      <c r="F53" s="175"/>
      <c r="G53" s="133"/>
      <c r="H53" s="134"/>
      <c r="I53" s="134"/>
      <c r="J53" s="134"/>
      <c r="K53" s="134"/>
      <c r="L53" s="134"/>
      <c r="M53" s="134"/>
      <c r="N53" s="134"/>
      <c r="O53" s="135"/>
      <c r="P53" s="135"/>
      <c r="Q53" s="131"/>
      <c r="U53" s="127"/>
    </row>
    <row r="54" spans="1:21" s="121" customFormat="1" ht="20.45" customHeight="1">
      <c r="A54" s="132"/>
      <c r="B54" s="116"/>
      <c r="D54" s="128"/>
      <c r="E54" s="175"/>
      <c r="F54" s="175"/>
      <c r="G54" s="715" t="s">
        <v>281</v>
      </c>
      <c r="H54" s="716"/>
      <c r="I54" s="145"/>
      <c r="J54" s="145"/>
      <c r="K54" s="145"/>
      <c r="L54" s="143"/>
      <c r="M54" s="143"/>
      <c r="N54" s="143"/>
      <c r="O54" s="143"/>
      <c r="P54" s="143"/>
      <c r="Q54" s="131"/>
      <c r="U54" s="127"/>
    </row>
    <row r="55" spans="1:21" s="121" customFormat="1" ht="20.45" customHeight="1">
      <c r="A55" s="132"/>
      <c r="B55" s="116"/>
      <c r="D55" s="128"/>
      <c r="E55" s="175"/>
      <c r="F55" s="175"/>
      <c r="G55" s="133"/>
      <c r="H55" s="133"/>
      <c r="I55" s="152">
        <v>1</v>
      </c>
      <c r="J55" s="719" t="s">
        <v>282</v>
      </c>
      <c r="K55" s="719"/>
      <c r="L55" s="719"/>
      <c r="M55" s="143"/>
      <c r="N55" s="143"/>
      <c r="O55" s="143"/>
      <c r="P55" s="143"/>
      <c r="Q55" s="131"/>
      <c r="U55" s="127"/>
    </row>
    <row r="56" spans="1:21" s="121" customFormat="1" ht="20.45" customHeight="1">
      <c r="A56" s="132"/>
      <c r="B56" s="116"/>
      <c r="D56" s="128"/>
      <c r="E56" s="175"/>
      <c r="F56" s="175"/>
      <c r="G56" s="133"/>
      <c r="H56" s="133"/>
      <c r="I56" s="159">
        <v>3</v>
      </c>
      <c r="J56" s="720" t="s">
        <v>283</v>
      </c>
      <c r="K56" s="720"/>
      <c r="L56" s="720"/>
      <c r="M56" s="143"/>
      <c r="N56" s="143"/>
      <c r="O56" s="143"/>
      <c r="P56" s="143"/>
      <c r="Q56" s="131"/>
      <c r="U56" s="127"/>
    </row>
    <row r="57" spans="1:21" s="121" customFormat="1" ht="20.45" customHeight="1">
      <c r="A57" s="132"/>
      <c r="B57" s="116"/>
      <c r="D57" s="128"/>
      <c r="E57" s="175"/>
      <c r="F57" s="175"/>
      <c r="G57" s="133"/>
      <c r="H57" s="133"/>
      <c r="I57" s="175"/>
      <c r="J57" s="175"/>
      <c r="K57" s="133"/>
      <c r="L57" s="133"/>
      <c r="M57" s="143"/>
      <c r="N57" s="143"/>
      <c r="O57" s="143"/>
      <c r="P57" s="143"/>
      <c r="Q57" s="131"/>
      <c r="U57" s="127"/>
    </row>
    <row r="58" spans="1:21" s="121" customFormat="1" ht="20.45" customHeight="1">
      <c r="A58" s="132"/>
      <c r="B58" s="116"/>
      <c r="D58" s="128"/>
      <c r="E58" s="175"/>
      <c r="F58" s="175"/>
      <c r="G58" s="133"/>
      <c r="H58" s="133"/>
      <c r="I58" s="175"/>
      <c r="J58" s="175"/>
      <c r="K58" s="133"/>
      <c r="L58" s="133"/>
      <c r="M58" s="143"/>
      <c r="N58" s="143"/>
      <c r="O58" s="143"/>
      <c r="P58" s="143"/>
      <c r="Q58" s="131"/>
      <c r="U58" s="127"/>
    </row>
    <row r="59" spans="1:21" s="121" customFormat="1" ht="27">
      <c r="A59" s="132"/>
      <c r="B59" s="116"/>
      <c r="D59" s="714">
        <v>1</v>
      </c>
      <c r="E59" s="178"/>
      <c r="F59" s="178"/>
      <c r="G59" s="160"/>
      <c r="H59" s="160"/>
      <c r="I59" s="160"/>
      <c r="J59" s="160"/>
      <c r="K59" s="161"/>
      <c r="L59" s="161"/>
      <c r="M59" s="162"/>
      <c r="N59" s="163"/>
      <c r="O59" s="163"/>
      <c r="P59" s="163"/>
      <c r="Q59" s="131"/>
      <c r="U59" s="127"/>
    </row>
    <row r="60" spans="1:21" s="121" customFormat="1" ht="27">
      <c r="A60" s="132"/>
      <c r="B60" s="116"/>
      <c r="D60" s="714"/>
      <c r="E60" s="178" t="s">
        <v>284</v>
      </c>
      <c r="F60" s="178"/>
      <c r="G60" s="160"/>
      <c r="H60" s="160"/>
      <c r="I60" s="160"/>
      <c r="J60" s="160"/>
      <c r="K60" s="161"/>
      <c r="L60" s="161"/>
      <c r="M60" s="162"/>
      <c r="N60" s="163"/>
      <c r="O60" s="163"/>
      <c r="P60" s="163"/>
      <c r="Q60" s="131"/>
      <c r="U60" s="127"/>
    </row>
    <row r="61" spans="1:21" s="121" customFormat="1" ht="27">
      <c r="A61" s="132"/>
      <c r="B61" s="116"/>
      <c r="D61" s="164"/>
      <c r="E61" s="179"/>
      <c r="F61" s="179"/>
      <c r="G61" s="165"/>
      <c r="H61" s="166"/>
      <c r="I61" s="166"/>
      <c r="J61" s="166"/>
      <c r="K61" s="166"/>
      <c r="L61" s="166"/>
      <c r="M61" s="166"/>
      <c r="N61" s="166"/>
      <c r="O61" s="167"/>
      <c r="P61" s="167"/>
      <c r="Q61" s="168"/>
      <c r="U61" s="127"/>
    </row>
    <row r="62" spans="1:21" s="121" customFormat="1" ht="27">
      <c r="A62" s="132"/>
      <c r="B62" s="116"/>
      <c r="D62" s="169"/>
      <c r="E62" s="180"/>
      <c r="F62" s="180"/>
      <c r="G62" s="170"/>
      <c r="H62" s="169"/>
      <c r="I62" s="169"/>
      <c r="J62" s="169"/>
      <c r="K62" s="169"/>
      <c r="L62" s="169"/>
      <c r="M62" s="169"/>
      <c r="N62" s="169"/>
      <c r="O62" s="171"/>
      <c r="P62" s="171"/>
      <c r="Q62" s="172"/>
      <c r="U62" s="127"/>
    </row>
    <row r="63" spans="1:21" ht="27">
      <c r="A63" s="132"/>
      <c r="E63" s="181"/>
      <c r="F63" s="181"/>
    </row>
    <row r="64" spans="1:21" ht="27">
      <c r="A64" s="132"/>
      <c r="E64" s="181"/>
      <c r="F64" s="181"/>
    </row>
    <row r="65" spans="1:21" ht="27">
      <c r="A65" s="132"/>
      <c r="E65" s="181"/>
      <c r="F65" s="181"/>
    </row>
    <row r="66" spans="1:21" ht="27">
      <c r="A66" s="132"/>
      <c r="E66" s="181"/>
      <c r="F66" s="181"/>
    </row>
    <row r="67" spans="1:21" ht="27">
      <c r="A67" s="132"/>
      <c r="E67" s="181"/>
      <c r="F67" s="181"/>
    </row>
    <row r="68" spans="1:21" ht="27">
      <c r="A68" s="132"/>
      <c r="E68" s="181"/>
      <c r="F68" s="181"/>
    </row>
    <row r="69" spans="1:21" ht="27">
      <c r="A69" s="132"/>
      <c r="E69" s="181"/>
      <c r="F69" s="181"/>
      <c r="H69" s="118"/>
      <c r="I69" s="118"/>
      <c r="J69" s="118"/>
      <c r="K69" s="118"/>
      <c r="L69" s="118"/>
      <c r="M69" s="118"/>
    </row>
    <row r="70" spans="1:21" ht="27">
      <c r="A70" s="132"/>
      <c r="E70" s="181"/>
      <c r="F70" s="181"/>
      <c r="H70" s="118"/>
      <c r="I70" s="118"/>
      <c r="J70" s="118"/>
      <c r="K70" s="118"/>
      <c r="L70" s="118"/>
      <c r="M70" s="118"/>
    </row>
    <row r="71" spans="1:21" ht="27">
      <c r="A71" s="132"/>
      <c r="E71" s="181"/>
      <c r="F71" s="181"/>
      <c r="H71" s="118"/>
      <c r="I71" s="118"/>
      <c r="J71" s="118"/>
      <c r="K71" s="118"/>
      <c r="L71" s="118"/>
      <c r="M71" s="118"/>
    </row>
    <row r="72" spans="1:21" ht="27">
      <c r="A72" s="132"/>
      <c r="E72" s="181"/>
      <c r="F72" s="181"/>
      <c r="H72" s="118"/>
      <c r="I72" s="118"/>
      <c r="J72" s="118"/>
      <c r="K72" s="118"/>
      <c r="L72" s="118"/>
      <c r="M72" s="118"/>
      <c r="U72" s="117"/>
    </row>
    <row r="73" spans="1:21" ht="27">
      <c r="A73" s="132"/>
      <c r="E73" s="181"/>
      <c r="F73" s="181"/>
      <c r="H73" s="118"/>
      <c r="I73" s="118"/>
      <c r="J73" s="118"/>
      <c r="K73" s="118"/>
      <c r="L73" s="118"/>
      <c r="M73" s="118"/>
      <c r="U73" s="117"/>
    </row>
    <row r="74" spans="1:21" ht="27">
      <c r="A74" s="132"/>
      <c r="E74" s="181"/>
      <c r="F74" s="181"/>
      <c r="H74" s="118"/>
      <c r="I74" s="118"/>
      <c r="J74" s="118"/>
      <c r="K74" s="118"/>
      <c r="L74" s="118"/>
      <c r="M74" s="118"/>
      <c r="U74" s="117"/>
    </row>
    <row r="75" spans="1:21" ht="27">
      <c r="A75" s="132"/>
      <c r="E75" s="181"/>
      <c r="F75" s="181"/>
      <c r="H75" s="118"/>
      <c r="I75" s="118"/>
      <c r="J75" s="118"/>
      <c r="K75" s="118"/>
      <c r="L75" s="118"/>
      <c r="M75" s="118"/>
      <c r="U75" s="117"/>
    </row>
    <row r="76" spans="1:21" ht="27">
      <c r="A76" s="132"/>
      <c r="E76" s="181"/>
      <c r="F76" s="181"/>
      <c r="H76" s="118"/>
      <c r="I76" s="118"/>
      <c r="J76" s="118"/>
      <c r="K76" s="118"/>
      <c r="L76" s="118"/>
      <c r="M76" s="118"/>
      <c r="U76" s="117"/>
    </row>
    <row r="77" spans="1:21" ht="27">
      <c r="A77" s="132"/>
      <c r="E77" s="181"/>
      <c r="F77" s="181"/>
      <c r="H77" s="118"/>
      <c r="I77" s="118"/>
      <c r="J77" s="118"/>
      <c r="K77" s="118"/>
      <c r="L77" s="118"/>
      <c r="M77" s="118"/>
      <c r="U77" s="117"/>
    </row>
    <row r="78" spans="1:21" ht="27">
      <c r="A78" s="132"/>
      <c r="E78" s="181"/>
      <c r="F78" s="181"/>
      <c r="H78" s="118"/>
      <c r="I78" s="118"/>
      <c r="J78" s="118"/>
      <c r="K78" s="118"/>
      <c r="L78" s="118"/>
      <c r="M78" s="118"/>
      <c r="U78" s="117"/>
    </row>
    <row r="79" spans="1:21" ht="27">
      <c r="A79" s="132"/>
      <c r="E79" s="181"/>
      <c r="F79" s="181"/>
      <c r="H79" s="118"/>
      <c r="I79" s="118"/>
      <c r="J79" s="118"/>
      <c r="K79" s="118"/>
      <c r="L79" s="118"/>
      <c r="M79" s="118"/>
      <c r="U79" s="117"/>
    </row>
    <row r="80" spans="1:21" ht="27">
      <c r="A80" s="132"/>
      <c r="E80" s="181"/>
      <c r="F80" s="181"/>
      <c r="H80" s="118"/>
      <c r="I80" s="118"/>
      <c r="J80" s="118"/>
      <c r="K80" s="118"/>
      <c r="L80" s="118"/>
      <c r="M80" s="118"/>
      <c r="U80" s="117"/>
    </row>
    <row r="81" spans="1:21" ht="27">
      <c r="A81" s="132"/>
      <c r="E81" s="181"/>
      <c r="F81" s="181"/>
      <c r="H81" s="118"/>
      <c r="I81" s="118"/>
      <c r="J81" s="118"/>
      <c r="K81" s="118"/>
      <c r="L81" s="118"/>
      <c r="M81" s="118"/>
      <c r="U81" s="117"/>
    </row>
    <row r="82" spans="1:21" ht="27">
      <c r="A82" s="132"/>
      <c r="E82" s="181"/>
      <c r="F82" s="181"/>
      <c r="H82" s="118"/>
      <c r="I82" s="118"/>
      <c r="J82" s="118"/>
      <c r="K82" s="118"/>
      <c r="L82" s="118"/>
      <c r="M82" s="118"/>
      <c r="U82" s="117"/>
    </row>
    <row r="83" spans="1:21" ht="27">
      <c r="A83" s="132"/>
      <c r="E83" s="181"/>
      <c r="F83" s="181"/>
      <c r="H83" s="118"/>
      <c r="I83" s="118"/>
      <c r="J83" s="118"/>
      <c r="K83" s="118"/>
      <c r="L83" s="118"/>
      <c r="M83" s="118"/>
      <c r="U83" s="117"/>
    </row>
    <row r="84" spans="1:21" ht="27">
      <c r="A84" s="132"/>
      <c r="E84" s="181"/>
      <c r="F84" s="181"/>
      <c r="H84" s="118"/>
      <c r="I84" s="118"/>
      <c r="J84" s="118"/>
      <c r="K84" s="118"/>
      <c r="L84" s="118"/>
      <c r="M84" s="118"/>
      <c r="U84" s="117"/>
    </row>
    <row r="85" spans="1:21" ht="27">
      <c r="A85" s="132"/>
      <c r="E85" s="181"/>
      <c r="F85" s="181"/>
      <c r="H85" s="118"/>
      <c r="I85" s="118"/>
      <c r="J85" s="118"/>
      <c r="K85" s="118"/>
      <c r="L85" s="118"/>
      <c r="M85" s="118"/>
      <c r="U85" s="117"/>
    </row>
    <row r="86" spans="1:21" ht="27">
      <c r="A86" s="132"/>
      <c r="H86" s="118"/>
      <c r="I86" s="118"/>
      <c r="J86" s="118"/>
      <c r="K86" s="118"/>
      <c r="L86" s="118"/>
      <c r="M86" s="118"/>
      <c r="U86" s="117"/>
    </row>
    <row r="87" spans="1:21" ht="27">
      <c r="A87" s="132"/>
      <c r="H87" s="118"/>
      <c r="I87" s="118"/>
      <c r="J87" s="118"/>
      <c r="K87" s="118"/>
      <c r="L87" s="118"/>
      <c r="M87" s="118"/>
      <c r="U87" s="117"/>
    </row>
    <row r="88" spans="1:21" ht="27">
      <c r="A88" s="132"/>
      <c r="H88" s="118"/>
      <c r="I88" s="118"/>
      <c r="J88" s="118"/>
      <c r="K88" s="118"/>
      <c r="L88" s="118"/>
      <c r="M88" s="118"/>
      <c r="U88" s="117"/>
    </row>
    <row r="89" spans="1:21" ht="27">
      <c r="A89" s="132"/>
      <c r="H89" s="118"/>
      <c r="I89" s="118"/>
      <c r="J89" s="118"/>
      <c r="K89" s="118"/>
      <c r="L89" s="118"/>
      <c r="M89" s="118"/>
      <c r="U89" s="117"/>
    </row>
    <row r="90" spans="1:21" ht="27">
      <c r="A90" s="132"/>
      <c r="H90" s="118"/>
      <c r="I90" s="118"/>
      <c r="J90" s="118"/>
      <c r="K90" s="118"/>
      <c r="L90" s="118"/>
      <c r="M90" s="118"/>
      <c r="U90" s="117"/>
    </row>
    <row r="91" spans="1:21" ht="27">
      <c r="A91" s="132"/>
      <c r="H91" s="118"/>
      <c r="I91" s="118"/>
      <c r="J91" s="118"/>
      <c r="K91" s="118"/>
      <c r="L91" s="118"/>
      <c r="M91" s="118"/>
      <c r="U91" s="117"/>
    </row>
    <row r="92" spans="1:21" ht="27">
      <c r="A92" s="132"/>
      <c r="U92" s="117"/>
    </row>
    <row r="93" spans="1:21" ht="27">
      <c r="A93" s="132"/>
      <c r="U93" s="117"/>
    </row>
    <row r="94" spans="1:21" ht="27">
      <c r="A94" s="132"/>
      <c r="U94" s="117"/>
    </row>
    <row r="95" spans="1:21" ht="27">
      <c r="A95" s="132"/>
      <c r="U95" s="117"/>
    </row>
    <row r="96" spans="1:21" ht="27">
      <c r="A96" s="132"/>
      <c r="U96" s="117"/>
    </row>
    <row r="97" spans="1:21" ht="27">
      <c r="A97" s="132"/>
      <c r="U97" s="117"/>
    </row>
    <row r="98" spans="1:21" ht="27">
      <c r="A98" s="132"/>
      <c r="U98" s="117"/>
    </row>
  </sheetData>
  <mergeCells count="14">
    <mergeCell ref="G38:H38"/>
    <mergeCell ref="E6:K8"/>
    <mergeCell ref="E13:F13"/>
    <mergeCell ref="E20:F20"/>
    <mergeCell ref="E24:F24"/>
    <mergeCell ref="G26:H26"/>
    <mergeCell ref="G33:H33"/>
    <mergeCell ref="D59:D60"/>
    <mergeCell ref="G46:H46"/>
    <mergeCell ref="I47:J47"/>
    <mergeCell ref="I48:I52"/>
    <mergeCell ref="G54:H54"/>
    <mergeCell ref="J55:L55"/>
    <mergeCell ref="J56:L56"/>
  </mergeCells>
  <conditionalFormatting sqref="I55:I56">
    <cfRule type="iconSet" priority="8">
      <iconSet iconSet="3Flags"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686AE25E-411C-450D-B8F4-A54E3ABE7B39}">
            <x14:iconSet iconSet="4TrafficLights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1"/>
              <x14:cfIcon iconSet="3TrafficLights1" iconId="0"/>
              <x14:cfIcon iconSet="3Symbols" iconId="1"/>
              <x14:cfIcon iconSet="3TrafficLights1" iconId="2"/>
            </x14:iconSet>
          </x14:cfRule>
          <xm:sqref>I27:I29</xm:sqref>
        </x14:conditionalFormatting>
        <x14:conditionalFormatting xmlns:xm="http://schemas.microsoft.com/office/excel/2006/main">
          <x14:cfRule type="iconSet" priority="3" id="{B8AAD402-018A-42DC-A652-6EADEEA84036}">
            <x14:iconSet iconSet="4TrafficLights" custom="1">
              <x14:cfvo type="percent">
                <xm:f>0</xm:f>
              </x14:cfvo>
              <x14:cfvo type="num">
                <xm:f>1</xm:f>
              </x14:cfvo>
              <x14:cfvo type="num">
                <xm:f>7</xm:f>
              </x14:cfvo>
              <x14:cfvo type="num">
                <xm:f>10</xm:f>
              </x14:cfvo>
              <x14:cfIcon iconSet="4RedToBlack" iconId="1"/>
              <x14:cfIcon iconSet="3TrafficLights1" iconId="2"/>
              <x14:cfIcon iconSet="3Symbols" iconId="1"/>
              <x14:cfIcon iconSet="3TrafficLights1" iconId="0"/>
            </x14:iconSet>
          </x14:cfRule>
          <xm:sqref>K48:O52</xm:sqref>
        </x14:conditionalFormatting>
        <x14:conditionalFormatting xmlns:xm="http://schemas.microsoft.com/office/excel/2006/main">
          <x14:cfRule type="iconSet" priority="75" id="{21DEC175-2EAE-4182-9350-0D0E4167BBD2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7</xm:f>
              </x14:cfvo>
              <x14:cfvo type="num">
                <xm:f>10</xm:f>
              </x14:cfvo>
              <x14:cfIcon iconSet="4RedToBlack" iconId="1"/>
              <x14:cfIcon iconSet="3TrafficLights1" iconId="2"/>
              <x14:cfIcon iconSet="3Symbols" iconId="1"/>
              <x14:cfIcon iconSet="3TrafficLights1" iconId="0"/>
            </x14:iconSet>
          </x14:cfRule>
          <xm:sqref>I34:I36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lcf76f155ced4ddcb4097134ff3c332f xmlns="7436dc2e-997a-4cb2-9afb-3ed07c82dd41">
      <Terms xmlns="http://schemas.microsoft.com/office/infopath/2007/PartnerControls"/>
    </lcf76f155ced4ddcb4097134ff3c332f>
    <TaxCatchAll xmlns="69ffa032-4785-46a1-8cb0-cc21cc3e058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72E046CEB0E8449AE55D82DFFFEB26" ma:contentTypeVersion="11" ma:contentTypeDescription="Create a new document." ma:contentTypeScope="" ma:versionID="fe09faf3aa4f7b557a1dcbe506c68de8">
  <xsd:schema xmlns:xsd="http://www.w3.org/2001/XMLSchema" xmlns:xs="http://www.w3.org/2001/XMLSchema" xmlns:p="http://schemas.microsoft.com/office/2006/metadata/properties" xmlns:ns2="7436dc2e-997a-4cb2-9afb-3ed07c82dd41" xmlns:ns3="69ffa032-4785-46a1-8cb0-cc21cc3e058d" targetNamespace="http://schemas.microsoft.com/office/2006/metadata/properties" ma:root="true" ma:fieldsID="3b69a66ecb52350302b14a2a4dc9bbbe" ns2:_="" ns3:_="">
    <xsd:import namespace="7436dc2e-997a-4cb2-9afb-3ed07c82dd41"/>
    <xsd:import namespace="69ffa032-4785-46a1-8cb0-cc21cc3e05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36dc2e-997a-4cb2-9afb-3ed07c82dd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d1512f4-1f82-475b-ac28-07292af4f6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fa032-4785-46a1-8cb0-cc21cc3e058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742d1bf-23cd-45de-a569-52a73217962c}" ma:internalName="TaxCatchAll" ma:showField="CatchAllData" ma:web="69ffa032-4785-46a1-8cb0-cc21cc3e05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3F1BD0-4C9B-413B-BCBB-C443BD66F660}"/>
</file>

<file path=customXml/itemProps2.xml><?xml version="1.0" encoding="utf-8"?>
<ds:datastoreItem xmlns:ds="http://schemas.openxmlformats.org/officeDocument/2006/customXml" ds:itemID="{758886D3-5F42-4133-8046-CB7D56C0EB89}"/>
</file>

<file path=customXml/itemProps3.xml><?xml version="1.0" encoding="utf-8"?>
<ds:datastoreItem xmlns:ds="http://schemas.openxmlformats.org/officeDocument/2006/customXml" ds:itemID="{44A79F0D-21E8-48CD-9798-4023E7935E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ICT PMO - Project Progress Report  - PPR</dc:title>
  <dc:subject/>
  <dc:creator>Eyad Zamel</dc:creator>
  <cp:keywords>PPR</cp:keywords>
  <dc:description/>
  <cp:lastModifiedBy>Omar  Aboelftooh</cp:lastModifiedBy>
  <cp:revision/>
  <dcterms:created xsi:type="dcterms:W3CDTF">2012-05-23T23:33:42Z</dcterms:created>
  <dcterms:modified xsi:type="dcterms:W3CDTF">2026-03-28T12:54:11Z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0x0101004272E046CEB0E8449AE55D82DFFFEB26</vt:lpwstr>
  </property>
  <property fmtid="{D5CDD505-2E9C-101B-9397-08002B2CF9AE}" pid="3" name="TemplateUrl">
    <vt:lpwstr/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Order">
    <vt:r8>4100</vt:r8>
  </property>
  <property fmtid="{D5CDD505-2E9C-101B-9397-08002B2CF9AE}" pid="7" name="MediaServiceImageTags">
    <vt:lpwstr/>
  </property>
</Properties>
</file>